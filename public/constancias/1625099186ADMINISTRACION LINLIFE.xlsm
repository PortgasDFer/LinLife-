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ownloads\"/>
    </mc:Choice>
  </mc:AlternateContent>
  <xr:revisionPtr revIDLastSave="0" documentId="13_ncr:1_{ECA6B8F0-EF97-45A7-AC75-8D82A62F8AD6}" xr6:coauthVersionLast="47" xr6:coauthVersionMax="47" xr10:uidLastSave="{00000000-0000-0000-0000-000000000000}"/>
  <bookViews>
    <workbookView xWindow="-120" yWindow="-120" windowWidth="20730" windowHeight="11160" tabRatio="701" activeTab="2" xr2:uid="{00000000-000D-0000-FFFF-FFFF00000000}"/>
  </bookViews>
  <sheets>
    <sheet name="FORMULARIO DE REGISTRO" sheetId="1" r:id="rId1"/>
    <sheet name="Ventas por socio" sheetId="5" r:id="rId2"/>
    <sheet name="DATOS REGISTRADOS" sheetId="2" r:id="rId3"/>
    <sheet name="Productos " sheetId="6" r:id="rId4"/>
    <sheet name="Hoja1" sheetId="13" state="hidden" r:id="rId5"/>
    <sheet name="Folios hist" sheetId="9" r:id="rId6"/>
    <sheet name="Inventario" sheetId="4" state="hidden" r:id="rId7"/>
    <sheet name="Registro de comisiones sep" sheetId="10" r:id="rId8"/>
    <sheet name="Comisiones" sheetId="11" r:id="rId9"/>
    <sheet name="Hoja2" sheetId="12" r:id="rId10"/>
  </sheets>
  <definedNames>
    <definedName name="_xlnm._FilterDatabase" localSheetId="2" hidden="1">'DATOS REGISTRADOS'!$O$7:$Q$68</definedName>
    <definedName name="_xlnm.Print_Area" localSheetId="5">'Folios hist'!$B$488:$G$512</definedName>
    <definedName name="_xlnm.Print_Area" localSheetId="6">Inventario!$A$1:$O$19</definedName>
    <definedName name="_xlnm.Print_Area" localSheetId="1">'Ventas por socio'!$B$2:$G$27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9" l="1"/>
  <c r="F21" i="9"/>
  <c r="G21" i="9" s="1"/>
  <c r="D21" i="9"/>
  <c r="F20" i="9"/>
  <c r="G20" i="9" s="1"/>
  <c r="D20" i="9"/>
  <c r="F19" i="9"/>
  <c r="G19" i="9" s="1"/>
  <c r="D19" i="9"/>
  <c r="F18" i="9"/>
  <c r="G18" i="9" s="1"/>
  <c r="D18" i="9"/>
  <c r="G17" i="9"/>
  <c r="F17" i="9"/>
  <c r="D17" i="9"/>
  <c r="D16" i="9"/>
  <c r="D15" i="9"/>
  <c r="D14" i="9"/>
  <c r="D11" i="9"/>
  <c r="C11" i="9"/>
  <c r="E10" i="9"/>
  <c r="F10" i="9" s="1"/>
  <c r="G10" i="9" s="1"/>
  <c r="C9" i="9"/>
  <c r="F8" i="9"/>
  <c r="C8" i="9"/>
  <c r="C7" i="9"/>
  <c r="F5" i="9"/>
  <c r="D5" i="9"/>
  <c r="D20" i="5"/>
  <c r="C49" i="9"/>
  <c r="F48" i="9"/>
  <c r="G48" i="9" s="1"/>
  <c r="D48" i="9"/>
  <c r="F47" i="9"/>
  <c r="G47" i="9" s="1"/>
  <c r="D47" i="9"/>
  <c r="F46" i="9"/>
  <c r="G46" i="9" s="1"/>
  <c r="D46" i="9"/>
  <c r="F45" i="9"/>
  <c r="G45" i="9" s="1"/>
  <c r="D45" i="9"/>
  <c r="G44" i="9"/>
  <c r="F44" i="9"/>
  <c r="D44" i="9"/>
  <c r="D43" i="9"/>
  <c r="D42" i="9"/>
  <c r="D41" i="9"/>
  <c r="D38" i="9"/>
  <c r="C38" i="9"/>
  <c r="E37" i="9"/>
  <c r="F37" i="9" s="1"/>
  <c r="G37" i="9" s="1"/>
  <c r="C36" i="9"/>
  <c r="F35" i="9"/>
  <c r="C35" i="9"/>
  <c r="C34" i="9"/>
  <c r="F32" i="9"/>
  <c r="D32" i="9"/>
  <c r="C76" i="9" l="1"/>
  <c r="F75" i="9"/>
  <c r="G75" i="9" s="1"/>
  <c r="D75" i="9"/>
  <c r="F74" i="9"/>
  <c r="G74" i="9" s="1"/>
  <c r="D74" i="9"/>
  <c r="F73" i="9"/>
  <c r="G73" i="9" s="1"/>
  <c r="F72" i="9"/>
  <c r="G72" i="9" s="1"/>
  <c r="F71" i="9"/>
  <c r="G71" i="9" s="1"/>
  <c r="D65" i="9"/>
  <c r="C65" i="9"/>
  <c r="E64" i="9"/>
  <c r="F64" i="9" s="1"/>
  <c r="G64" i="9" s="1"/>
  <c r="C63" i="9"/>
  <c r="F62" i="9"/>
  <c r="C62" i="9"/>
  <c r="C61" i="9"/>
  <c r="F59" i="9"/>
  <c r="D59" i="9"/>
  <c r="C103" i="9"/>
  <c r="F102" i="9"/>
  <c r="G102" i="9" s="1"/>
  <c r="D102" i="9"/>
  <c r="F101" i="9"/>
  <c r="G101" i="9" s="1"/>
  <c r="D101" i="9"/>
  <c r="F100" i="9"/>
  <c r="G100" i="9" s="1"/>
  <c r="D100" i="9"/>
  <c r="F99" i="9"/>
  <c r="G99" i="9" s="1"/>
  <c r="D99" i="9"/>
  <c r="F98" i="9"/>
  <c r="G98" i="9" s="1"/>
  <c r="D98" i="9"/>
  <c r="D97" i="9"/>
  <c r="D96" i="9"/>
  <c r="D95" i="9"/>
  <c r="D92" i="9"/>
  <c r="C92" i="9"/>
  <c r="E91" i="9"/>
  <c r="F91" i="9" s="1"/>
  <c r="G91" i="9" s="1"/>
  <c r="C90" i="9"/>
  <c r="F89" i="9"/>
  <c r="C89" i="9"/>
  <c r="C88" i="9"/>
  <c r="F86" i="9"/>
  <c r="D86" i="9"/>
  <c r="P4" i="2" l="1"/>
  <c r="O4" i="2" s="1"/>
  <c r="R4" i="2"/>
  <c r="F5" i="5" l="1"/>
  <c r="C130" i="9"/>
  <c r="F129" i="9"/>
  <c r="G129" i="9" s="1"/>
  <c r="D129" i="9"/>
  <c r="F128" i="9"/>
  <c r="G128" i="9" s="1"/>
  <c r="D128" i="9"/>
  <c r="F127" i="9"/>
  <c r="G127" i="9" s="1"/>
  <c r="D127" i="9"/>
  <c r="F126" i="9"/>
  <c r="G126" i="9" s="1"/>
  <c r="D126" i="9"/>
  <c r="F125" i="9"/>
  <c r="G125" i="9" s="1"/>
  <c r="D125" i="9"/>
  <c r="F124" i="9"/>
  <c r="G124" i="9" s="1"/>
  <c r="D124" i="9"/>
  <c r="D123" i="9"/>
  <c r="D122" i="9"/>
  <c r="D119" i="9"/>
  <c r="C119" i="9"/>
  <c r="E118" i="9"/>
  <c r="F118" i="9" s="1"/>
  <c r="C117" i="9"/>
  <c r="F116" i="9"/>
  <c r="C116" i="9"/>
  <c r="C115" i="9"/>
  <c r="F113" i="9"/>
  <c r="D113" i="9"/>
  <c r="R6" i="2" l="1"/>
  <c r="D37" i="6" l="1"/>
  <c r="D33" i="6"/>
  <c r="D34" i="6"/>
  <c r="D35" i="6"/>
  <c r="D36" i="6"/>
  <c r="D32" i="6"/>
  <c r="D31" i="6"/>
  <c r="D27" i="6"/>
  <c r="D28" i="6"/>
  <c r="D29" i="6"/>
  <c r="D30" i="6"/>
  <c r="D26" i="6"/>
  <c r="F19" i="5" l="1"/>
  <c r="G19" i="5" s="1"/>
  <c r="E155" i="9"/>
  <c r="F154" i="9"/>
  <c r="G154" i="9" s="1"/>
  <c r="C154" i="9"/>
  <c r="F153" i="9"/>
  <c r="G153" i="9" s="1"/>
  <c r="C153" i="9"/>
  <c r="C152" i="9"/>
  <c r="C151" i="9"/>
  <c r="C150" i="9"/>
  <c r="C149" i="9"/>
  <c r="C148" i="9"/>
  <c r="D145" i="9"/>
  <c r="C145" i="9"/>
  <c r="E144" i="9"/>
  <c r="F144" i="9" s="1"/>
  <c r="G144" i="9" s="1"/>
  <c r="C144" i="9"/>
  <c r="F143" i="9"/>
  <c r="C143" i="9"/>
  <c r="C142" i="9"/>
  <c r="F140" i="9"/>
  <c r="D140" i="9"/>
  <c r="E182" i="9"/>
  <c r="F181" i="9"/>
  <c r="G181" i="9" s="1"/>
  <c r="C181" i="9"/>
  <c r="F180" i="9"/>
  <c r="G180" i="9" s="1"/>
  <c r="C180" i="9"/>
  <c r="F179" i="9"/>
  <c r="G179" i="9" s="1"/>
  <c r="C179" i="9"/>
  <c r="F178" i="9"/>
  <c r="G178" i="9" s="1"/>
  <c r="C178" i="9"/>
  <c r="C177" i="9"/>
  <c r="C176" i="9"/>
  <c r="C175" i="9"/>
  <c r="D172" i="9"/>
  <c r="C172" i="9"/>
  <c r="E171" i="9"/>
  <c r="F171" i="9" s="1"/>
  <c r="G171" i="9" s="1"/>
  <c r="C171" i="9"/>
  <c r="F170" i="9"/>
  <c r="C170" i="9"/>
  <c r="C169" i="9"/>
  <c r="F167" i="9"/>
  <c r="D167" i="9"/>
  <c r="E209" i="9"/>
  <c r="F208" i="9"/>
  <c r="G208" i="9" s="1"/>
  <c r="C208" i="9"/>
  <c r="F207" i="9"/>
  <c r="G207" i="9" s="1"/>
  <c r="C207" i="9"/>
  <c r="F206" i="9"/>
  <c r="G206" i="9" s="1"/>
  <c r="C206" i="9"/>
  <c r="C205" i="9"/>
  <c r="C204" i="9"/>
  <c r="C203" i="9"/>
  <c r="C202" i="9"/>
  <c r="D199" i="9"/>
  <c r="C199" i="9"/>
  <c r="E198" i="9"/>
  <c r="F198" i="9" s="1"/>
  <c r="G198" i="9" s="1"/>
  <c r="C198" i="9"/>
  <c r="F197" i="9"/>
  <c r="C197" i="9"/>
  <c r="C196" i="9"/>
  <c r="F194" i="9"/>
  <c r="D194" i="9"/>
  <c r="P6" i="2"/>
  <c r="O6" i="2" s="1"/>
  <c r="C211" i="9"/>
  <c r="P8" i="2" l="1"/>
  <c r="O8" i="2" s="1"/>
  <c r="P9" i="2"/>
  <c r="O9" i="2" s="1"/>
  <c r="P10" i="2"/>
  <c r="O10" i="2" s="1"/>
  <c r="P11" i="2"/>
  <c r="O11" i="2" s="1"/>
  <c r="P12" i="2"/>
  <c r="O12" i="2" s="1"/>
  <c r="P13" i="2"/>
  <c r="O13" i="2" s="1"/>
  <c r="P14" i="2"/>
  <c r="O14" i="2" s="1"/>
  <c r="P15" i="2"/>
  <c r="O15" i="2" s="1"/>
  <c r="P16" i="2"/>
  <c r="O16" i="2" s="1"/>
  <c r="P17" i="2"/>
  <c r="O17" i="2" s="1"/>
  <c r="P18" i="2"/>
  <c r="O18" i="2" s="1"/>
  <c r="P19" i="2"/>
  <c r="O19" i="2" s="1"/>
  <c r="P20" i="2"/>
  <c r="O20" i="2" s="1"/>
  <c r="P21" i="2"/>
  <c r="O21" i="2" s="1"/>
  <c r="P22" i="2"/>
  <c r="O22" i="2" s="1"/>
  <c r="P23" i="2"/>
  <c r="O23" i="2" s="1"/>
  <c r="P24" i="2"/>
  <c r="O24" i="2" s="1"/>
  <c r="P25" i="2"/>
  <c r="O25" i="2" s="1"/>
  <c r="P26" i="2"/>
  <c r="O26" i="2" s="1"/>
  <c r="P27" i="2"/>
  <c r="O27" i="2" s="1"/>
  <c r="P28" i="2"/>
  <c r="O28" i="2" s="1"/>
  <c r="P29" i="2"/>
  <c r="O29" i="2" s="1"/>
  <c r="P30" i="2"/>
  <c r="O30" i="2" s="1"/>
  <c r="P31" i="2"/>
  <c r="O31" i="2" s="1"/>
  <c r="P32" i="2"/>
  <c r="O32" i="2" s="1"/>
  <c r="P33" i="2"/>
  <c r="O33" i="2" s="1"/>
  <c r="P34" i="2"/>
  <c r="O34" i="2" s="1"/>
  <c r="P35" i="2"/>
  <c r="O35" i="2" s="1"/>
  <c r="P36" i="2"/>
  <c r="O36" i="2" s="1"/>
  <c r="P37" i="2"/>
  <c r="O37" i="2" s="1"/>
  <c r="P38" i="2"/>
  <c r="O38" i="2" s="1"/>
  <c r="P39" i="2"/>
  <c r="O39" i="2" s="1"/>
  <c r="P40" i="2"/>
  <c r="O40" i="2" s="1"/>
  <c r="P41" i="2"/>
  <c r="O41" i="2" s="1"/>
  <c r="P42" i="2"/>
  <c r="O42" i="2" s="1"/>
  <c r="P43" i="2"/>
  <c r="O43" i="2" s="1"/>
  <c r="P44" i="2"/>
  <c r="O44" i="2" s="1"/>
  <c r="P45" i="2"/>
  <c r="O45" i="2" s="1"/>
  <c r="P46" i="2"/>
  <c r="O46" i="2" s="1"/>
  <c r="P47" i="2"/>
  <c r="O47" i="2" s="1"/>
  <c r="P48" i="2"/>
  <c r="O48" i="2" s="1"/>
  <c r="P49" i="2"/>
  <c r="O49" i="2" s="1"/>
  <c r="P50" i="2"/>
  <c r="O50" i="2" s="1"/>
  <c r="P51" i="2"/>
  <c r="O51" i="2" s="1"/>
  <c r="P52" i="2"/>
  <c r="O52" i="2" s="1"/>
  <c r="P54" i="2"/>
  <c r="O54" i="2" s="1"/>
  <c r="P55" i="2"/>
  <c r="O55" i="2" s="1"/>
  <c r="P57" i="2"/>
  <c r="O57" i="2" s="1"/>
  <c r="P58" i="2"/>
  <c r="O58" i="2" s="1"/>
  <c r="P59" i="2"/>
  <c r="O59" i="2" s="1"/>
  <c r="P60" i="2"/>
  <c r="O60" i="2" s="1"/>
  <c r="P61" i="2"/>
  <c r="O61" i="2" s="1"/>
  <c r="P62" i="2"/>
  <c r="R8" i="2" l="1"/>
  <c r="R9" i="2"/>
  <c r="R10" i="2"/>
  <c r="R11" i="2"/>
  <c r="R12" i="2" l="1"/>
  <c r="E236" i="9" l="1"/>
  <c r="F235" i="9"/>
  <c r="G235" i="9" s="1"/>
  <c r="C235" i="9"/>
  <c r="F234" i="9"/>
  <c r="G234" i="9" s="1"/>
  <c r="C234" i="9"/>
  <c r="C233" i="9"/>
  <c r="F232" i="9"/>
  <c r="G232" i="9" s="1"/>
  <c r="C232" i="9"/>
  <c r="C231" i="9"/>
  <c r="C230" i="9"/>
  <c r="F229" i="9"/>
  <c r="G229" i="9" s="1"/>
  <c r="C229" i="9"/>
  <c r="D226" i="9"/>
  <c r="C226" i="9"/>
  <c r="E225" i="9"/>
  <c r="F225" i="9" s="1"/>
  <c r="C225" i="9"/>
  <c r="F224" i="9"/>
  <c r="C224" i="9"/>
  <c r="C223" i="9"/>
  <c r="D221" i="9"/>
  <c r="E263" i="9"/>
  <c r="F262" i="9"/>
  <c r="G262" i="9" s="1"/>
  <c r="C262" i="9"/>
  <c r="F261" i="9"/>
  <c r="G261" i="9" s="1"/>
  <c r="C261" i="9"/>
  <c r="F260" i="9"/>
  <c r="G260" i="9" s="1"/>
  <c r="C260" i="9"/>
  <c r="F259" i="9"/>
  <c r="G259" i="9" s="1"/>
  <c r="C259" i="9"/>
  <c r="F258" i="9"/>
  <c r="G258" i="9" s="1"/>
  <c r="C258" i="9"/>
  <c r="F257" i="9"/>
  <c r="G257" i="9" s="1"/>
  <c r="C257" i="9"/>
  <c r="C256" i="9"/>
  <c r="D253" i="9"/>
  <c r="C253" i="9"/>
  <c r="E252" i="9"/>
  <c r="F252" i="9" s="1"/>
  <c r="G252" i="9" s="1"/>
  <c r="C252" i="9"/>
  <c r="F251" i="9"/>
  <c r="C251" i="9"/>
  <c r="C250" i="9"/>
  <c r="B249" i="9"/>
  <c r="D248" i="9"/>
  <c r="E290" i="9" l="1"/>
  <c r="F289" i="9"/>
  <c r="G289" i="9" s="1"/>
  <c r="C289" i="9"/>
  <c r="F288" i="9"/>
  <c r="G288" i="9" s="1"/>
  <c r="C288" i="9"/>
  <c r="C287" i="9"/>
  <c r="F286" i="9"/>
  <c r="G286" i="9" s="1"/>
  <c r="C286" i="9"/>
  <c r="C285" i="9"/>
  <c r="C284" i="9"/>
  <c r="F283" i="9"/>
  <c r="G283" i="9" s="1"/>
  <c r="C283" i="9"/>
  <c r="D280" i="9"/>
  <c r="C280" i="9"/>
  <c r="E279" i="9"/>
  <c r="F279" i="9" s="1"/>
  <c r="C279" i="9"/>
  <c r="F278" i="9"/>
  <c r="C278" i="9"/>
  <c r="C277" i="9"/>
  <c r="D275" i="9"/>
  <c r="E317" i="9"/>
  <c r="F316" i="9"/>
  <c r="G316" i="9" s="1"/>
  <c r="C316" i="9"/>
  <c r="F315" i="9"/>
  <c r="G315" i="9" s="1"/>
  <c r="C315" i="9"/>
  <c r="F314" i="9"/>
  <c r="G314" i="9" s="1"/>
  <c r="C314" i="9"/>
  <c r="F313" i="9"/>
  <c r="G313" i="9" s="1"/>
  <c r="C313" i="9"/>
  <c r="F312" i="9"/>
  <c r="G312" i="9" s="1"/>
  <c r="C312" i="9"/>
  <c r="F311" i="9"/>
  <c r="G311" i="9" s="1"/>
  <c r="C311" i="9"/>
  <c r="C310" i="9"/>
  <c r="D307" i="9"/>
  <c r="C307" i="9"/>
  <c r="E306" i="9"/>
  <c r="F306" i="9" s="1"/>
  <c r="G306" i="9" s="1"/>
  <c r="C306" i="9"/>
  <c r="F305" i="9"/>
  <c r="C305" i="9"/>
  <c r="C304" i="9"/>
  <c r="D302" i="9"/>
  <c r="E344" i="9" l="1"/>
  <c r="F343" i="9"/>
  <c r="G343" i="9" s="1"/>
  <c r="C343" i="9"/>
  <c r="F342" i="9"/>
  <c r="G342" i="9" s="1"/>
  <c r="C342" i="9"/>
  <c r="F341" i="9"/>
  <c r="G341" i="9" s="1"/>
  <c r="C341" i="9"/>
  <c r="F340" i="9"/>
  <c r="G340" i="9" s="1"/>
  <c r="C340" i="9"/>
  <c r="F339" i="9"/>
  <c r="G339" i="9" s="1"/>
  <c r="C339" i="9"/>
  <c r="F338" i="9"/>
  <c r="G338" i="9" s="1"/>
  <c r="C338" i="9"/>
  <c r="C337" i="9"/>
  <c r="D334" i="9"/>
  <c r="C334" i="9"/>
  <c r="E333" i="9"/>
  <c r="F333" i="9" s="1"/>
  <c r="G333" i="9" s="1"/>
  <c r="C333" i="9"/>
  <c r="F332" i="9"/>
  <c r="C332" i="9"/>
  <c r="C331" i="9"/>
  <c r="D329" i="9"/>
  <c r="E371" i="9"/>
  <c r="F370" i="9"/>
  <c r="G370" i="9" s="1"/>
  <c r="C370" i="9"/>
  <c r="F369" i="9"/>
  <c r="G369" i="9" s="1"/>
  <c r="C369" i="9"/>
  <c r="F368" i="9"/>
  <c r="G368" i="9" s="1"/>
  <c r="C368" i="9"/>
  <c r="F367" i="9"/>
  <c r="G367" i="9" s="1"/>
  <c r="C367" i="9"/>
  <c r="F366" i="9"/>
  <c r="G366" i="9" s="1"/>
  <c r="C366" i="9"/>
  <c r="C365" i="9"/>
  <c r="C364" i="9"/>
  <c r="D361" i="9"/>
  <c r="C361" i="9"/>
  <c r="E360" i="9"/>
  <c r="F360" i="9" s="1"/>
  <c r="G360" i="9" s="1"/>
  <c r="C360" i="9"/>
  <c r="F359" i="9"/>
  <c r="C359" i="9"/>
  <c r="C358" i="9"/>
  <c r="D356" i="9"/>
  <c r="R13" i="2" l="1"/>
  <c r="R14" i="2"/>
  <c r="E398" i="9" l="1"/>
  <c r="F397" i="9"/>
  <c r="G397" i="9" s="1"/>
  <c r="C397" i="9"/>
  <c r="F396" i="9"/>
  <c r="G396" i="9" s="1"/>
  <c r="C396" i="9"/>
  <c r="F395" i="9"/>
  <c r="G395" i="9" s="1"/>
  <c r="C395" i="9"/>
  <c r="F394" i="9"/>
  <c r="G394" i="9" s="1"/>
  <c r="C394" i="9"/>
  <c r="F393" i="9"/>
  <c r="G393" i="9" s="1"/>
  <c r="C393" i="9"/>
  <c r="C392" i="9"/>
  <c r="C391" i="9"/>
  <c r="D388" i="9"/>
  <c r="C388" i="9"/>
  <c r="E387" i="9"/>
  <c r="F387" i="9" s="1"/>
  <c r="G387" i="9" s="1"/>
  <c r="C387" i="9"/>
  <c r="F386" i="9"/>
  <c r="C386" i="9"/>
  <c r="C385" i="9"/>
  <c r="D383" i="9"/>
  <c r="E425" i="9"/>
  <c r="F424" i="9"/>
  <c r="G424" i="9" s="1"/>
  <c r="C424" i="9"/>
  <c r="F423" i="9"/>
  <c r="G423" i="9" s="1"/>
  <c r="C423" i="9"/>
  <c r="F422" i="9"/>
  <c r="G422" i="9" s="1"/>
  <c r="C422" i="9"/>
  <c r="F421" i="9"/>
  <c r="G421" i="9" s="1"/>
  <c r="C421" i="9"/>
  <c r="F420" i="9"/>
  <c r="G420" i="9" s="1"/>
  <c r="C420" i="9"/>
  <c r="F419" i="9"/>
  <c r="G419" i="9" s="1"/>
  <c r="C419" i="9"/>
  <c r="C418" i="9"/>
  <c r="D415" i="9"/>
  <c r="C415" i="9"/>
  <c r="E414" i="9"/>
  <c r="F414" i="9" s="1"/>
  <c r="G414" i="9" s="1"/>
  <c r="C414" i="9"/>
  <c r="F413" i="9"/>
  <c r="C413" i="9"/>
  <c r="C412" i="9"/>
  <c r="D410" i="9"/>
  <c r="E452" i="9" l="1"/>
  <c r="F451" i="9"/>
  <c r="G451" i="9" s="1"/>
  <c r="C451" i="9"/>
  <c r="F450" i="9"/>
  <c r="G450" i="9" s="1"/>
  <c r="C450" i="9"/>
  <c r="F449" i="9"/>
  <c r="G449" i="9" s="1"/>
  <c r="C449" i="9"/>
  <c r="F448" i="9"/>
  <c r="G448" i="9" s="1"/>
  <c r="C448" i="9"/>
  <c r="C447" i="9"/>
  <c r="C446" i="9"/>
  <c r="C445" i="9"/>
  <c r="D442" i="9"/>
  <c r="C442" i="9"/>
  <c r="E441" i="9"/>
  <c r="F441" i="9" s="1"/>
  <c r="G441" i="9" s="1"/>
  <c r="C441" i="9"/>
  <c r="F440" i="9"/>
  <c r="C440" i="9"/>
  <c r="C439" i="9"/>
  <c r="D437" i="9"/>
  <c r="E479" i="9"/>
  <c r="F478" i="9"/>
  <c r="G478" i="9" s="1"/>
  <c r="C478" i="9"/>
  <c r="F477" i="9"/>
  <c r="G477" i="9" s="1"/>
  <c r="C477" i="9"/>
  <c r="F476" i="9"/>
  <c r="G476" i="9" s="1"/>
  <c r="C476" i="9"/>
  <c r="F475" i="9"/>
  <c r="G475" i="9" s="1"/>
  <c r="C475" i="9"/>
  <c r="F474" i="9"/>
  <c r="G474" i="9" s="1"/>
  <c r="C474" i="9"/>
  <c r="C473" i="9"/>
  <c r="C472" i="9"/>
  <c r="D469" i="9"/>
  <c r="C469" i="9"/>
  <c r="E468" i="9"/>
  <c r="F468" i="9" s="1"/>
  <c r="G468" i="9" s="1"/>
  <c r="C468" i="9"/>
  <c r="F467" i="9"/>
  <c r="C467" i="9"/>
  <c r="C466" i="9"/>
  <c r="D464" i="9"/>
  <c r="E506" i="9"/>
  <c r="F505" i="9"/>
  <c r="G505" i="9" s="1"/>
  <c r="C505" i="9"/>
  <c r="F504" i="9"/>
  <c r="G504" i="9" s="1"/>
  <c r="C504" i="9"/>
  <c r="F503" i="9"/>
  <c r="G503" i="9" s="1"/>
  <c r="C503" i="9"/>
  <c r="F502" i="9"/>
  <c r="G502" i="9" s="1"/>
  <c r="C502" i="9"/>
  <c r="C501" i="9"/>
  <c r="C500" i="9"/>
  <c r="C499" i="9"/>
  <c r="D496" i="9"/>
  <c r="C496" i="9"/>
  <c r="E495" i="9"/>
  <c r="F495" i="9" s="1"/>
  <c r="G495" i="9" s="1"/>
  <c r="C495" i="9"/>
  <c r="F494" i="9"/>
  <c r="C494" i="9"/>
  <c r="C493" i="9"/>
  <c r="D491" i="9"/>
  <c r="C481" i="9"/>
  <c r="R15" i="2"/>
  <c r="R16" i="2"/>
  <c r="R17" i="2"/>
  <c r="C346" i="9" s="1"/>
  <c r="R18" i="2"/>
  <c r="C427" i="9" s="1"/>
  <c r="R19" i="2"/>
  <c r="R20" i="2"/>
  <c r="C51" i="9" s="1"/>
  <c r="E533" i="9" l="1"/>
  <c r="F532" i="9"/>
  <c r="G532" i="9" s="1"/>
  <c r="C532" i="9"/>
  <c r="F531" i="9"/>
  <c r="G531" i="9" s="1"/>
  <c r="C531" i="9"/>
  <c r="F530" i="9"/>
  <c r="G530" i="9" s="1"/>
  <c r="C530" i="9"/>
  <c r="F529" i="9"/>
  <c r="G529" i="9" s="1"/>
  <c r="C529" i="9"/>
  <c r="F528" i="9"/>
  <c r="G528" i="9" s="1"/>
  <c r="C528" i="9"/>
  <c r="C527" i="9"/>
  <c r="C526" i="9"/>
  <c r="D523" i="9"/>
  <c r="C523" i="9"/>
  <c r="E522" i="9"/>
  <c r="F522" i="9" s="1"/>
  <c r="G522" i="9" s="1"/>
  <c r="C522" i="9"/>
  <c r="F521" i="9"/>
  <c r="C521" i="9"/>
  <c r="C520" i="9"/>
  <c r="D518" i="9"/>
  <c r="C535" i="9"/>
  <c r="R21" i="2"/>
  <c r="E560" i="9"/>
  <c r="F559" i="9"/>
  <c r="G559" i="9" s="1"/>
  <c r="C559" i="9"/>
  <c r="F558" i="9"/>
  <c r="G558" i="9" s="1"/>
  <c r="C558" i="9"/>
  <c r="F557" i="9"/>
  <c r="G557" i="9" s="1"/>
  <c r="C557" i="9"/>
  <c r="F556" i="9"/>
  <c r="G556" i="9" s="1"/>
  <c r="C556" i="9"/>
  <c r="C555" i="9"/>
  <c r="C554" i="9"/>
  <c r="C553" i="9"/>
  <c r="D550" i="9"/>
  <c r="C550" i="9"/>
  <c r="E549" i="9"/>
  <c r="F549" i="9" s="1"/>
  <c r="G549" i="9" s="1"/>
  <c r="C549" i="9"/>
  <c r="F548" i="9"/>
  <c r="C548" i="9"/>
  <c r="C547" i="9"/>
  <c r="D545" i="9"/>
  <c r="R22" i="2" l="1"/>
  <c r="E587" i="9"/>
  <c r="F586" i="9"/>
  <c r="G586" i="9" s="1"/>
  <c r="C586" i="9"/>
  <c r="F585" i="9"/>
  <c r="G585" i="9" s="1"/>
  <c r="C585" i="9"/>
  <c r="F584" i="9"/>
  <c r="G584" i="9" s="1"/>
  <c r="C584" i="9"/>
  <c r="C583" i="9"/>
  <c r="C582" i="9"/>
  <c r="C581" i="9"/>
  <c r="C580" i="9"/>
  <c r="D577" i="9"/>
  <c r="C577" i="9"/>
  <c r="E576" i="9"/>
  <c r="F576" i="9" s="1"/>
  <c r="C576" i="9"/>
  <c r="F575" i="9"/>
  <c r="C575" i="9"/>
  <c r="C574" i="9"/>
  <c r="D572" i="9"/>
  <c r="E614" i="9" l="1"/>
  <c r="F613" i="9"/>
  <c r="G613" i="9" s="1"/>
  <c r="C613" i="9"/>
  <c r="F612" i="9"/>
  <c r="G612" i="9" s="1"/>
  <c r="C612" i="9"/>
  <c r="F611" i="9"/>
  <c r="G611" i="9" s="1"/>
  <c r="C611" i="9"/>
  <c r="F610" i="9"/>
  <c r="G610" i="9" s="1"/>
  <c r="C610" i="9"/>
  <c r="F609" i="9"/>
  <c r="G609" i="9" s="1"/>
  <c r="C609" i="9"/>
  <c r="F608" i="9"/>
  <c r="G608" i="9" s="1"/>
  <c r="C608" i="9"/>
  <c r="F607" i="9"/>
  <c r="G607" i="9" s="1"/>
  <c r="C607" i="9"/>
  <c r="D604" i="9"/>
  <c r="C604" i="9"/>
  <c r="C603" i="9"/>
  <c r="F602" i="9"/>
  <c r="C602" i="9"/>
  <c r="C601" i="9"/>
  <c r="D599" i="9"/>
  <c r="E641" i="9"/>
  <c r="F640" i="9"/>
  <c r="G640" i="9" s="1"/>
  <c r="C640" i="9"/>
  <c r="F639" i="9"/>
  <c r="G639" i="9" s="1"/>
  <c r="C639" i="9"/>
  <c r="F638" i="9"/>
  <c r="G638" i="9" s="1"/>
  <c r="C638" i="9"/>
  <c r="F637" i="9"/>
  <c r="G637" i="9" s="1"/>
  <c r="C637" i="9"/>
  <c r="F636" i="9"/>
  <c r="G636" i="9" s="1"/>
  <c r="C636" i="9"/>
  <c r="C635" i="9"/>
  <c r="C634" i="9"/>
  <c r="D631" i="9"/>
  <c r="C631" i="9"/>
  <c r="E630" i="9"/>
  <c r="F630" i="9" s="1"/>
  <c r="G630" i="9" s="1"/>
  <c r="C630" i="9"/>
  <c r="F629" i="9"/>
  <c r="C629" i="9"/>
  <c r="C628" i="9"/>
  <c r="D626" i="9"/>
  <c r="E668" i="9"/>
  <c r="F667" i="9"/>
  <c r="G667" i="9" s="1"/>
  <c r="C667" i="9"/>
  <c r="C666" i="9"/>
  <c r="C665" i="9"/>
  <c r="C664" i="9"/>
  <c r="C663" i="9"/>
  <c r="C662" i="9"/>
  <c r="C661" i="9"/>
  <c r="D658" i="9"/>
  <c r="C658" i="9"/>
  <c r="E657" i="9"/>
  <c r="F657" i="9" s="1"/>
  <c r="G657" i="9" s="1"/>
  <c r="C657" i="9"/>
  <c r="F656" i="9"/>
  <c r="C656" i="9"/>
  <c r="C655" i="9"/>
  <c r="D653" i="9"/>
  <c r="E695" i="9"/>
  <c r="F694" i="9"/>
  <c r="G694" i="9" s="1"/>
  <c r="C694" i="9"/>
  <c r="F693" i="9"/>
  <c r="G693" i="9" s="1"/>
  <c r="C693" i="9"/>
  <c r="F692" i="9"/>
  <c r="G692" i="9" s="1"/>
  <c r="C692" i="9"/>
  <c r="F691" i="9"/>
  <c r="G691" i="9" s="1"/>
  <c r="C691" i="9"/>
  <c r="F690" i="9"/>
  <c r="G690" i="9" s="1"/>
  <c r="C690" i="9"/>
  <c r="C689" i="9"/>
  <c r="C688" i="9"/>
  <c r="D685" i="9"/>
  <c r="C685" i="9"/>
  <c r="E684" i="9"/>
  <c r="F684" i="9" s="1"/>
  <c r="G684" i="9" s="1"/>
  <c r="C684" i="9"/>
  <c r="F683" i="9"/>
  <c r="C683" i="9"/>
  <c r="C682" i="9"/>
  <c r="D680" i="9"/>
  <c r="G614" i="9" l="1"/>
  <c r="E722" i="9"/>
  <c r="F721" i="9"/>
  <c r="G721" i="9" s="1"/>
  <c r="C721" i="9"/>
  <c r="F720" i="9"/>
  <c r="G720" i="9" s="1"/>
  <c r="C720" i="9"/>
  <c r="F719" i="9"/>
  <c r="G719" i="9" s="1"/>
  <c r="C719" i="9"/>
  <c r="F718" i="9"/>
  <c r="G718" i="9" s="1"/>
  <c r="C718" i="9"/>
  <c r="F717" i="9"/>
  <c r="G717" i="9" s="1"/>
  <c r="C717" i="9"/>
  <c r="F716" i="9"/>
  <c r="G716" i="9" s="1"/>
  <c r="C716" i="9"/>
  <c r="F715" i="9"/>
  <c r="G715" i="9" s="1"/>
  <c r="C715" i="9"/>
  <c r="D712" i="9"/>
  <c r="C712" i="9"/>
  <c r="E711" i="9"/>
  <c r="F711" i="9" s="1"/>
  <c r="G711" i="9" s="1"/>
  <c r="C711" i="9"/>
  <c r="F710" i="9"/>
  <c r="C710" i="9"/>
  <c r="C709" i="9"/>
  <c r="D707" i="9"/>
  <c r="G615" i="9" l="1"/>
  <c r="G616" i="9" s="1"/>
  <c r="G722" i="9"/>
  <c r="G723" i="9" l="1"/>
  <c r="G724" i="9" s="1"/>
  <c r="E749" i="9"/>
  <c r="F748" i="9"/>
  <c r="G748" i="9" s="1"/>
  <c r="C748" i="9"/>
  <c r="F747" i="9"/>
  <c r="G747" i="9" s="1"/>
  <c r="C747" i="9"/>
  <c r="F746" i="9"/>
  <c r="G746" i="9" s="1"/>
  <c r="C746" i="9"/>
  <c r="F745" i="9"/>
  <c r="G745" i="9" s="1"/>
  <c r="C745" i="9"/>
  <c r="F744" i="9"/>
  <c r="G744" i="9" s="1"/>
  <c r="C744" i="9"/>
  <c r="F743" i="9"/>
  <c r="G743" i="9" s="1"/>
  <c r="C743" i="9"/>
  <c r="C742" i="9"/>
  <c r="D739" i="9"/>
  <c r="C739" i="9"/>
  <c r="C738" i="9"/>
  <c r="F737" i="9"/>
  <c r="C737" i="9"/>
  <c r="C736" i="9"/>
  <c r="D734" i="9"/>
  <c r="E776" i="9"/>
  <c r="F775" i="9"/>
  <c r="G775" i="9" s="1"/>
  <c r="C775" i="9"/>
  <c r="F774" i="9"/>
  <c r="G774" i="9" s="1"/>
  <c r="C774" i="9"/>
  <c r="F773" i="9"/>
  <c r="G773" i="9" s="1"/>
  <c r="C773" i="9"/>
  <c r="F772" i="9"/>
  <c r="G772" i="9" s="1"/>
  <c r="C772" i="9"/>
  <c r="C771" i="9"/>
  <c r="C770" i="9"/>
  <c r="C769" i="9"/>
  <c r="D766" i="9"/>
  <c r="C766" i="9"/>
  <c r="C765" i="9"/>
  <c r="F764" i="9"/>
  <c r="C764" i="9"/>
  <c r="C763" i="9"/>
  <c r="D761" i="9"/>
  <c r="E803" i="9"/>
  <c r="F802" i="9"/>
  <c r="G802" i="9" s="1"/>
  <c r="C802" i="9"/>
  <c r="F801" i="9"/>
  <c r="G801" i="9" s="1"/>
  <c r="C801" i="9"/>
  <c r="F800" i="9"/>
  <c r="G800" i="9" s="1"/>
  <c r="C800" i="9"/>
  <c r="F799" i="9"/>
  <c r="G799" i="9" s="1"/>
  <c r="C799" i="9"/>
  <c r="F798" i="9"/>
  <c r="G798" i="9" s="1"/>
  <c r="C798" i="9"/>
  <c r="C797" i="9"/>
  <c r="C796" i="9"/>
  <c r="D793" i="9"/>
  <c r="C793" i="9"/>
  <c r="C792" i="9"/>
  <c r="F791" i="9"/>
  <c r="C791" i="9"/>
  <c r="C790" i="9"/>
  <c r="D788" i="9"/>
  <c r="C805" i="9"/>
  <c r="R23" i="2"/>
  <c r="C643" i="9" s="1"/>
  <c r="R24" i="2"/>
  <c r="R25" i="2"/>
  <c r="R26" i="2"/>
  <c r="C670" i="9" l="1"/>
  <c r="C373" i="9"/>
  <c r="E830" i="9"/>
  <c r="F829" i="9"/>
  <c r="G829" i="9" s="1"/>
  <c r="C829" i="9"/>
  <c r="F828" i="9"/>
  <c r="G828" i="9" s="1"/>
  <c r="C828" i="9"/>
  <c r="F827" i="9"/>
  <c r="G827" i="9" s="1"/>
  <c r="C827" i="9"/>
  <c r="F826" i="9"/>
  <c r="G826" i="9" s="1"/>
  <c r="C826" i="9"/>
  <c r="F825" i="9"/>
  <c r="G825" i="9" s="1"/>
  <c r="C825" i="9"/>
  <c r="F824" i="9"/>
  <c r="G824" i="9" s="1"/>
  <c r="C824" i="9"/>
  <c r="C823" i="9"/>
  <c r="D820" i="9"/>
  <c r="C820" i="9"/>
  <c r="C819" i="9"/>
  <c r="F818" i="9"/>
  <c r="C818" i="9"/>
  <c r="C817" i="9"/>
  <c r="D815" i="9"/>
  <c r="E857" i="9" l="1"/>
  <c r="F856" i="9"/>
  <c r="G856" i="9" s="1"/>
  <c r="C856" i="9"/>
  <c r="F855" i="9"/>
  <c r="G855" i="9" s="1"/>
  <c r="C855" i="9"/>
  <c r="F854" i="9"/>
  <c r="G854" i="9" s="1"/>
  <c r="C854" i="9"/>
  <c r="F853" i="9"/>
  <c r="G853" i="9" s="1"/>
  <c r="C853" i="9"/>
  <c r="F852" i="9"/>
  <c r="G852" i="9" s="1"/>
  <c r="C852" i="9"/>
  <c r="F851" i="9"/>
  <c r="G851" i="9" s="1"/>
  <c r="C851" i="9"/>
  <c r="C850" i="9"/>
  <c r="D847" i="9"/>
  <c r="C847" i="9"/>
  <c r="C846" i="9"/>
  <c r="F845" i="9"/>
  <c r="C845" i="9"/>
  <c r="C844" i="9"/>
  <c r="D842" i="9"/>
  <c r="E884" i="9"/>
  <c r="F883" i="9"/>
  <c r="G883" i="9" s="1"/>
  <c r="C883" i="9"/>
  <c r="F882" i="9"/>
  <c r="G882" i="9" s="1"/>
  <c r="C882" i="9"/>
  <c r="F881" i="9"/>
  <c r="G881" i="9" s="1"/>
  <c r="C881" i="9"/>
  <c r="F880" i="9"/>
  <c r="G880" i="9" s="1"/>
  <c r="C880" i="9"/>
  <c r="F879" i="9"/>
  <c r="G879" i="9" s="1"/>
  <c r="C879" i="9"/>
  <c r="C878" i="9"/>
  <c r="C877" i="9"/>
  <c r="D874" i="9"/>
  <c r="C874" i="9"/>
  <c r="C873" i="9"/>
  <c r="F872" i="9"/>
  <c r="C872" i="9"/>
  <c r="C871" i="9"/>
  <c r="D869" i="9"/>
  <c r="E911" i="9"/>
  <c r="F910" i="9"/>
  <c r="G910" i="9" s="1"/>
  <c r="C910" i="9"/>
  <c r="F909" i="9"/>
  <c r="G909" i="9" s="1"/>
  <c r="C909" i="9"/>
  <c r="F908" i="9"/>
  <c r="G908" i="9" s="1"/>
  <c r="C908" i="9"/>
  <c r="F907" i="9"/>
  <c r="G907" i="9" s="1"/>
  <c r="C907" i="9"/>
  <c r="F906" i="9"/>
  <c r="G906" i="9" s="1"/>
  <c r="C906" i="9"/>
  <c r="C905" i="9"/>
  <c r="C904" i="9"/>
  <c r="D901" i="9"/>
  <c r="C901" i="9"/>
  <c r="C900" i="9"/>
  <c r="F899" i="9"/>
  <c r="C899" i="9"/>
  <c r="C898" i="9"/>
  <c r="D896" i="9"/>
  <c r="E938" i="9"/>
  <c r="F937" i="9"/>
  <c r="G937" i="9" s="1"/>
  <c r="C937" i="9"/>
  <c r="F936" i="9"/>
  <c r="G936" i="9" s="1"/>
  <c r="C936" i="9"/>
  <c r="F935" i="9"/>
  <c r="G935" i="9" s="1"/>
  <c r="C935" i="9"/>
  <c r="F934" i="9"/>
  <c r="G934" i="9" s="1"/>
  <c r="C934" i="9"/>
  <c r="C933" i="9"/>
  <c r="C932" i="9"/>
  <c r="C931" i="9"/>
  <c r="D928" i="9"/>
  <c r="C928" i="9"/>
  <c r="C927" i="9"/>
  <c r="F926" i="9"/>
  <c r="C926" i="9"/>
  <c r="C925" i="9"/>
  <c r="D923" i="9"/>
  <c r="E965" i="9"/>
  <c r="F964" i="9"/>
  <c r="G964" i="9" s="1"/>
  <c r="C964" i="9"/>
  <c r="F963" i="9"/>
  <c r="G963" i="9" s="1"/>
  <c r="C963" i="9"/>
  <c r="F962" i="9"/>
  <c r="G962" i="9" s="1"/>
  <c r="C962" i="9"/>
  <c r="F961" i="9"/>
  <c r="G961" i="9" s="1"/>
  <c r="C961" i="9"/>
  <c r="F960" i="9"/>
  <c r="G960" i="9" s="1"/>
  <c r="C960" i="9"/>
  <c r="C959" i="9"/>
  <c r="C958" i="9"/>
  <c r="D955" i="9"/>
  <c r="C955" i="9"/>
  <c r="C954" i="9"/>
  <c r="F953" i="9"/>
  <c r="C953" i="9"/>
  <c r="C952" i="9"/>
  <c r="D950" i="9"/>
  <c r="E992" i="9"/>
  <c r="F991" i="9"/>
  <c r="G991" i="9" s="1"/>
  <c r="C991" i="9"/>
  <c r="F990" i="9"/>
  <c r="G990" i="9" s="1"/>
  <c r="C990" i="9"/>
  <c r="F989" i="9"/>
  <c r="G989" i="9" s="1"/>
  <c r="C989" i="9"/>
  <c r="F988" i="9"/>
  <c r="G988" i="9" s="1"/>
  <c r="C988" i="9"/>
  <c r="F987" i="9"/>
  <c r="G987" i="9" s="1"/>
  <c r="C987" i="9"/>
  <c r="C986" i="9"/>
  <c r="C985" i="9"/>
  <c r="D982" i="9"/>
  <c r="C982" i="9"/>
  <c r="C981" i="9"/>
  <c r="F980" i="9"/>
  <c r="C980" i="9"/>
  <c r="C979" i="9"/>
  <c r="D977" i="9"/>
  <c r="E1019" i="9"/>
  <c r="F1018" i="9"/>
  <c r="G1018" i="9" s="1"/>
  <c r="C1018" i="9"/>
  <c r="F1017" i="9"/>
  <c r="G1017" i="9" s="1"/>
  <c r="C1017" i="9"/>
  <c r="F1016" i="9"/>
  <c r="G1016" i="9" s="1"/>
  <c r="C1016" i="9"/>
  <c r="F1015" i="9"/>
  <c r="G1015" i="9" s="1"/>
  <c r="C1015" i="9"/>
  <c r="F1014" i="9"/>
  <c r="G1014" i="9" s="1"/>
  <c r="C1014" i="9"/>
  <c r="F1013" i="9"/>
  <c r="G1013" i="9" s="1"/>
  <c r="C1013" i="9"/>
  <c r="C1012" i="9"/>
  <c r="D1009" i="9"/>
  <c r="C1009" i="9"/>
  <c r="C1008" i="9"/>
  <c r="F1007" i="9"/>
  <c r="C1007" i="9"/>
  <c r="C1006" i="9"/>
  <c r="D1004" i="9"/>
  <c r="E1046" i="9"/>
  <c r="F1045" i="9"/>
  <c r="G1045" i="9" s="1"/>
  <c r="C1045" i="9"/>
  <c r="F1044" i="9"/>
  <c r="G1044" i="9" s="1"/>
  <c r="C1044" i="9"/>
  <c r="F1043" i="9"/>
  <c r="G1043" i="9" s="1"/>
  <c r="C1043" i="9"/>
  <c r="F1042" i="9"/>
  <c r="G1042" i="9" s="1"/>
  <c r="C1042" i="9"/>
  <c r="F1041" i="9"/>
  <c r="G1041" i="9" s="1"/>
  <c r="C1041" i="9"/>
  <c r="F1040" i="9"/>
  <c r="G1040" i="9" s="1"/>
  <c r="C1040" i="9"/>
  <c r="C1039" i="9"/>
  <c r="D1036" i="9"/>
  <c r="C1036" i="9"/>
  <c r="C1035" i="9"/>
  <c r="F1034" i="9"/>
  <c r="C1034" i="9"/>
  <c r="C1033" i="9"/>
  <c r="D1031" i="9"/>
  <c r="E1073" i="9"/>
  <c r="F1072" i="9"/>
  <c r="G1072" i="9" s="1"/>
  <c r="C1072" i="9"/>
  <c r="F1071" i="9"/>
  <c r="G1071" i="9" s="1"/>
  <c r="C1071" i="9"/>
  <c r="F1070" i="9"/>
  <c r="G1070" i="9" s="1"/>
  <c r="C1070" i="9"/>
  <c r="F1069" i="9"/>
  <c r="G1069" i="9" s="1"/>
  <c r="C1069" i="9"/>
  <c r="F1068" i="9"/>
  <c r="G1068" i="9" s="1"/>
  <c r="C1068" i="9"/>
  <c r="F1067" i="9"/>
  <c r="G1067" i="9" s="1"/>
  <c r="C1067" i="9"/>
  <c r="C1066" i="9"/>
  <c r="D1063" i="9"/>
  <c r="C1063" i="9"/>
  <c r="C1062" i="9"/>
  <c r="F1061" i="9"/>
  <c r="C1061" i="9"/>
  <c r="C1060" i="9"/>
  <c r="D1058" i="9"/>
  <c r="E1100" i="9" l="1"/>
  <c r="F1099" i="9"/>
  <c r="G1099" i="9" s="1"/>
  <c r="C1099" i="9"/>
  <c r="F1098" i="9"/>
  <c r="G1098" i="9" s="1"/>
  <c r="C1098" i="9"/>
  <c r="F1097" i="9"/>
  <c r="G1097" i="9" s="1"/>
  <c r="C1097" i="9"/>
  <c r="C1096" i="9"/>
  <c r="C1095" i="9"/>
  <c r="C1094" i="9"/>
  <c r="C1093" i="9"/>
  <c r="D1090" i="9"/>
  <c r="C1090" i="9"/>
  <c r="C1089" i="9"/>
  <c r="F1088" i="9"/>
  <c r="C1088" i="9"/>
  <c r="C1087" i="9"/>
  <c r="D1085" i="9"/>
  <c r="C1102" i="9"/>
  <c r="R27" i="2"/>
  <c r="E1127" i="9" l="1"/>
  <c r="F1126" i="9"/>
  <c r="G1126" i="9" s="1"/>
  <c r="C1126" i="9"/>
  <c r="F1125" i="9"/>
  <c r="G1125" i="9" s="1"/>
  <c r="C1125" i="9"/>
  <c r="F1124" i="9"/>
  <c r="G1124" i="9" s="1"/>
  <c r="C1124" i="9"/>
  <c r="F1123" i="9"/>
  <c r="G1123" i="9" s="1"/>
  <c r="C1123" i="9"/>
  <c r="F1122" i="9"/>
  <c r="G1122" i="9" s="1"/>
  <c r="C1122" i="9"/>
  <c r="C1121" i="9"/>
  <c r="C1120" i="9"/>
  <c r="D1117" i="9"/>
  <c r="C1117" i="9"/>
  <c r="C1116" i="9"/>
  <c r="F1115" i="9"/>
  <c r="C1115" i="9"/>
  <c r="C1114" i="9"/>
  <c r="D1112" i="9"/>
  <c r="E1154" i="9"/>
  <c r="F1153" i="9"/>
  <c r="G1153" i="9" s="1"/>
  <c r="C1153" i="9"/>
  <c r="F1152" i="9"/>
  <c r="G1152" i="9" s="1"/>
  <c r="C1152" i="9"/>
  <c r="F1151" i="9"/>
  <c r="G1151" i="9" s="1"/>
  <c r="C1151" i="9"/>
  <c r="F1150" i="9"/>
  <c r="G1150" i="9" s="1"/>
  <c r="C1150" i="9"/>
  <c r="F1149" i="9"/>
  <c r="G1149" i="9" s="1"/>
  <c r="C1149" i="9"/>
  <c r="C1148" i="9"/>
  <c r="C1147" i="9"/>
  <c r="D1144" i="9"/>
  <c r="C1144" i="9"/>
  <c r="C1143" i="9"/>
  <c r="F1142" i="9"/>
  <c r="C1142" i="9"/>
  <c r="C1141" i="9"/>
  <c r="D1139" i="9"/>
  <c r="E1181" i="9" l="1"/>
  <c r="F1180" i="9"/>
  <c r="G1180" i="9" s="1"/>
  <c r="C1180" i="9"/>
  <c r="F1179" i="9"/>
  <c r="G1179" i="9" s="1"/>
  <c r="C1179" i="9"/>
  <c r="F1178" i="9"/>
  <c r="G1178" i="9" s="1"/>
  <c r="C1178" i="9"/>
  <c r="F1177" i="9"/>
  <c r="G1177" i="9" s="1"/>
  <c r="C1177" i="9"/>
  <c r="F1176" i="9"/>
  <c r="G1176" i="9" s="1"/>
  <c r="C1176" i="9"/>
  <c r="F1175" i="9"/>
  <c r="G1175" i="9" s="1"/>
  <c r="C1175" i="9"/>
  <c r="C1174" i="9"/>
  <c r="D1171" i="9"/>
  <c r="C1171" i="9"/>
  <c r="C1170" i="9"/>
  <c r="F1169" i="9"/>
  <c r="C1169" i="9"/>
  <c r="C1168" i="9"/>
  <c r="D1166" i="9"/>
  <c r="E1208" i="9"/>
  <c r="F1207" i="9"/>
  <c r="G1207" i="9" s="1"/>
  <c r="C1207" i="9"/>
  <c r="F1206" i="9"/>
  <c r="G1206" i="9" s="1"/>
  <c r="C1206" i="9"/>
  <c r="F1205" i="9"/>
  <c r="G1205" i="9" s="1"/>
  <c r="C1205" i="9"/>
  <c r="F1204" i="9"/>
  <c r="G1204" i="9" s="1"/>
  <c r="C1204" i="9"/>
  <c r="F1203" i="9"/>
  <c r="G1203" i="9" s="1"/>
  <c r="C1203" i="9"/>
  <c r="F1202" i="9"/>
  <c r="G1202" i="9" s="1"/>
  <c r="C1202" i="9"/>
  <c r="C1201" i="9"/>
  <c r="D1198" i="9"/>
  <c r="C1198" i="9"/>
  <c r="C1197" i="9"/>
  <c r="F1196" i="9"/>
  <c r="C1196" i="9"/>
  <c r="C1195" i="9"/>
  <c r="D1193" i="9"/>
  <c r="R28" i="2" l="1"/>
  <c r="I1258" i="9" l="1"/>
  <c r="E1235" i="9"/>
  <c r="F1234" i="9"/>
  <c r="G1234" i="9" s="1"/>
  <c r="C1234" i="9"/>
  <c r="F1233" i="9"/>
  <c r="G1233" i="9" s="1"/>
  <c r="C1233" i="9"/>
  <c r="F1232" i="9"/>
  <c r="G1232" i="9" s="1"/>
  <c r="C1232" i="9"/>
  <c r="F1231" i="9"/>
  <c r="G1231" i="9" s="1"/>
  <c r="C1231" i="9"/>
  <c r="C1230" i="9"/>
  <c r="C1229" i="9"/>
  <c r="C1228" i="9"/>
  <c r="D1225" i="9"/>
  <c r="C1225" i="9"/>
  <c r="C1224" i="9"/>
  <c r="F1223" i="9"/>
  <c r="C1223" i="9"/>
  <c r="C1222" i="9"/>
  <c r="F1220" i="9"/>
  <c r="D1220" i="9"/>
  <c r="E1262" i="9" l="1"/>
  <c r="F1261" i="9"/>
  <c r="G1261" i="9" s="1"/>
  <c r="C1261" i="9"/>
  <c r="F1260" i="9"/>
  <c r="G1260" i="9" s="1"/>
  <c r="C1260" i="9"/>
  <c r="F1259" i="9"/>
  <c r="G1259" i="9" s="1"/>
  <c r="C1259" i="9"/>
  <c r="F1258" i="9"/>
  <c r="G1258" i="9" s="1"/>
  <c r="C1258" i="9"/>
  <c r="C1257" i="9"/>
  <c r="C1256" i="9"/>
  <c r="C1255" i="9"/>
  <c r="D1252" i="9"/>
  <c r="C1252" i="9"/>
  <c r="C1251" i="9"/>
  <c r="F1250" i="9"/>
  <c r="C1250" i="9"/>
  <c r="C1249" i="9"/>
  <c r="F1247" i="9"/>
  <c r="D1247" i="9"/>
  <c r="E1289" i="9" l="1"/>
  <c r="F1288" i="9"/>
  <c r="G1288" i="9" s="1"/>
  <c r="C1288" i="9"/>
  <c r="F1287" i="9"/>
  <c r="G1287" i="9" s="1"/>
  <c r="C1287" i="9"/>
  <c r="C1286" i="9"/>
  <c r="C1285" i="9"/>
  <c r="C1284" i="9"/>
  <c r="C1283" i="9"/>
  <c r="C1282" i="9"/>
  <c r="D1279" i="9"/>
  <c r="C1279" i="9"/>
  <c r="C1278" i="9"/>
  <c r="F1277" i="9"/>
  <c r="C1277" i="9"/>
  <c r="C1276" i="9"/>
  <c r="F1274" i="9"/>
  <c r="D1274" i="9"/>
  <c r="E1316" i="9"/>
  <c r="F1315" i="9"/>
  <c r="G1315" i="9" s="1"/>
  <c r="C1315" i="9"/>
  <c r="F1314" i="9"/>
  <c r="G1314" i="9" s="1"/>
  <c r="C1314" i="9"/>
  <c r="F1313" i="9"/>
  <c r="G1313" i="9" s="1"/>
  <c r="C1313" i="9"/>
  <c r="C1312" i="9"/>
  <c r="C1311" i="9"/>
  <c r="C1310" i="9"/>
  <c r="C1309" i="9"/>
  <c r="D1306" i="9"/>
  <c r="C1306" i="9"/>
  <c r="C1305" i="9"/>
  <c r="F1304" i="9"/>
  <c r="C1304" i="9"/>
  <c r="C1303" i="9"/>
  <c r="F1301" i="9"/>
  <c r="D1301" i="9"/>
  <c r="E1343" i="9"/>
  <c r="F1342" i="9"/>
  <c r="G1342" i="9" s="1"/>
  <c r="C1342" i="9"/>
  <c r="F1341" i="9"/>
  <c r="G1341" i="9" s="1"/>
  <c r="C1341" i="9"/>
  <c r="F1340" i="9"/>
  <c r="G1340" i="9" s="1"/>
  <c r="C1340" i="9"/>
  <c r="F1339" i="9"/>
  <c r="G1339" i="9" s="1"/>
  <c r="C1339" i="9"/>
  <c r="C1338" i="9"/>
  <c r="C1337" i="9"/>
  <c r="C1336" i="9"/>
  <c r="D1333" i="9"/>
  <c r="C1333" i="9"/>
  <c r="C1332" i="9"/>
  <c r="F1331" i="9"/>
  <c r="C1331" i="9"/>
  <c r="C1330" i="9"/>
  <c r="F1328" i="9"/>
  <c r="D1328" i="9"/>
  <c r="E1370" i="9"/>
  <c r="F1369" i="9"/>
  <c r="G1369" i="9" s="1"/>
  <c r="C1369" i="9"/>
  <c r="F1368" i="9"/>
  <c r="G1368" i="9" s="1"/>
  <c r="C1368" i="9"/>
  <c r="F1367" i="9"/>
  <c r="G1367" i="9" s="1"/>
  <c r="C1367" i="9"/>
  <c r="F1366" i="9"/>
  <c r="G1366" i="9" s="1"/>
  <c r="C1366" i="9"/>
  <c r="F1365" i="9"/>
  <c r="G1365" i="9" s="1"/>
  <c r="C1365" i="9"/>
  <c r="C1364" i="9"/>
  <c r="C1363" i="9"/>
  <c r="D1360" i="9"/>
  <c r="C1360" i="9"/>
  <c r="C1359" i="9"/>
  <c r="F1358" i="9"/>
  <c r="C1358" i="9"/>
  <c r="C1357" i="9"/>
  <c r="F1355" i="9"/>
  <c r="D1355" i="9"/>
  <c r="E1397" i="9" l="1"/>
  <c r="F1396" i="9"/>
  <c r="G1396" i="9" s="1"/>
  <c r="C1396" i="9"/>
  <c r="F1395" i="9"/>
  <c r="G1395" i="9" s="1"/>
  <c r="C1395" i="9"/>
  <c r="C1394" i="9"/>
  <c r="C1393" i="9"/>
  <c r="C1392" i="9"/>
  <c r="C1391" i="9"/>
  <c r="C1390" i="9"/>
  <c r="D1387" i="9"/>
  <c r="C1387" i="9"/>
  <c r="C1386" i="9"/>
  <c r="F1385" i="9"/>
  <c r="C1385" i="9"/>
  <c r="C1384" i="9"/>
  <c r="F1382" i="9"/>
  <c r="D1382" i="9"/>
  <c r="E1424" i="9" l="1"/>
  <c r="F1423" i="9"/>
  <c r="G1423" i="9" s="1"/>
  <c r="C1423" i="9"/>
  <c r="F1422" i="9"/>
  <c r="G1422" i="9" s="1"/>
  <c r="C1422" i="9"/>
  <c r="C1421" i="9"/>
  <c r="C1420" i="9"/>
  <c r="C1419" i="9"/>
  <c r="C1418" i="9"/>
  <c r="C1417" i="9"/>
  <c r="D1414" i="9"/>
  <c r="C1414" i="9"/>
  <c r="C1413" i="9"/>
  <c r="F1412" i="9"/>
  <c r="C1412" i="9"/>
  <c r="C1411" i="9"/>
  <c r="F1409" i="9"/>
  <c r="D1409" i="9"/>
  <c r="E1451" i="9" l="1"/>
  <c r="F1450" i="9"/>
  <c r="G1450" i="9" s="1"/>
  <c r="C1450" i="9"/>
  <c r="F1449" i="9"/>
  <c r="G1449" i="9" s="1"/>
  <c r="C1449" i="9"/>
  <c r="F1448" i="9"/>
  <c r="G1448" i="9" s="1"/>
  <c r="C1448" i="9"/>
  <c r="F1447" i="9"/>
  <c r="G1447" i="9" s="1"/>
  <c r="C1447" i="9"/>
  <c r="F1446" i="9"/>
  <c r="G1446" i="9" s="1"/>
  <c r="C1446" i="9"/>
  <c r="F1445" i="9"/>
  <c r="G1445" i="9" s="1"/>
  <c r="C1445" i="9"/>
  <c r="C1444" i="9"/>
  <c r="D1441" i="9"/>
  <c r="C1441" i="9"/>
  <c r="C1440" i="9"/>
  <c r="F1439" i="9"/>
  <c r="C1439" i="9"/>
  <c r="C1438" i="9"/>
  <c r="F1436" i="9"/>
  <c r="D1436" i="9"/>
  <c r="D24" i="6"/>
  <c r="E1478" i="9"/>
  <c r="F1477" i="9"/>
  <c r="G1477" i="9" s="1"/>
  <c r="C1477" i="9"/>
  <c r="F1476" i="9"/>
  <c r="G1476" i="9" s="1"/>
  <c r="C1476" i="9"/>
  <c r="F1475" i="9"/>
  <c r="G1475" i="9" s="1"/>
  <c r="C1475" i="9"/>
  <c r="F1474" i="9"/>
  <c r="G1474" i="9" s="1"/>
  <c r="C1474" i="9"/>
  <c r="F1473" i="9"/>
  <c r="G1473" i="9" s="1"/>
  <c r="C1473" i="9"/>
  <c r="F1472" i="9"/>
  <c r="G1472" i="9" s="1"/>
  <c r="C1472" i="9"/>
  <c r="F1471" i="9"/>
  <c r="G1471" i="9" s="1"/>
  <c r="C1471" i="9"/>
  <c r="F1463" i="9"/>
  <c r="E1505" i="9"/>
  <c r="F1504" i="9"/>
  <c r="G1504" i="9" s="1"/>
  <c r="C1504" i="9"/>
  <c r="F1503" i="9"/>
  <c r="G1503" i="9" s="1"/>
  <c r="C1503" i="9"/>
  <c r="F1502" i="9"/>
  <c r="G1502" i="9" s="1"/>
  <c r="C1502" i="9"/>
  <c r="C1501" i="9"/>
  <c r="C1500" i="9"/>
  <c r="C1499" i="9"/>
  <c r="C1498" i="9"/>
  <c r="D1495" i="9"/>
  <c r="C1495" i="9"/>
  <c r="C1494" i="9"/>
  <c r="F1493" i="9"/>
  <c r="C1493" i="9"/>
  <c r="C1492" i="9"/>
  <c r="F1490" i="9"/>
  <c r="D1490" i="9"/>
  <c r="D23" i="6"/>
  <c r="F771" i="9" s="1"/>
  <c r="G771" i="9" s="1"/>
  <c r="D22" i="6"/>
  <c r="D21" i="6"/>
  <c r="D20" i="6"/>
  <c r="D19" i="6"/>
  <c r="F151" i="9" s="1"/>
  <c r="G151" i="9" s="1"/>
  <c r="D18" i="6"/>
  <c r="D17" i="6"/>
  <c r="F582" i="9" s="1"/>
  <c r="G582" i="9" s="1"/>
  <c r="D16" i="6"/>
  <c r="F1095" i="9" s="1"/>
  <c r="G1095" i="9" s="1"/>
  <c r="D15" i="6"/>
  <c r="E1532" i="9"/>
  <c r="F1531" i="9"/>
  <c r="G1531" i="9" s="1"/>
  <c r="C1531" i="9"/>
  <c r="F1530" i="9"/>
  <c r="G1530" i="9" s="1"/>
  <c r="C1530" i="9"/>
  <c r="F1529" i="9"/>
  <c r="G1529" i="9" s="1"/>
  <c r="C1529" i="9"/>
  <c r="F1528" i="9"/>
  <c r="G1528" i="9" s="1"/>
  <c r="C1528" i="9"/>
  <c r="F1527" i="9"/>
  <c r="G1527" i="9" s="1"/>
  <c r="C1527" i="9"/>
  <c r="C1526" i="9"/>
  <c r="C1525" i="9"/>
  <c r="D1522" i="9"/>
  <c r="C1522" i="9"/>
  <c r="C1521" i="9"/>
  <c r="F1520" i="9"/>
  <c r="C1520" i="9"/>
  <c r="C1519" i="9"/>
  <c r="F1517" i="9"/>
  <c r="D1517" i="9"/>
  <c r="E1559" i="9"/>
  <c r="F1558" i="9"/>
  <c r="G1558" i="9" s="1"/>
  <c r="C1558" i="9"/>
  <c r="F1557" i="9"/>
  <c r="G1557" i="9" s="1"/>
  <c r="C1557" i="9"/>
  <c r="F1556" i="9"/>
  <c r="G1556" i="9" s="1"/>
  <c r="C1556" i="9"/>
  <c r="F1555" i="9"/>
  <c r="G1555" i="9" s="1"/>
  <c r="C1555" i="9"/>
  <c r="F1554" i="9"/>
  <c r="G1554" i="9" s="1"/>
  <c r="C1554" i="9"/>
  <c r="C1553" i="9"/>
  <c r="C1552" i="9"/>
  <c r="D1549" i="9"/>
  <c r="C1549" i="9"/>
  <c r="C1548" i="9"/>
  <c r="F1547" i="9"/>
  <c r="C1547" i="9"/>
  <c r="C1546" i="9"/>
  <c r="F1544" i="9"/>
  <c r="D1544" i="9"/>
  <c r="E1586" i="9"/>
  <c r="F1585" i="9"/>
  <c r="G1585" i="9" s="1"/>
  <c r="C1585" i="9"/>
  <c r="F1584" i="9"/>
  <c r="G1584" i="9" s="1"/>
  <c r="C1584" i="9"/>
  <c r="F1583" i="9"/>
  <c r="G1583" i="9" s="1"/>
  <c r="C1583" i="9"/>
  <c r="F1582" i="9"/>
  <c r="G1582" i="9" s="1"/>
  <c r="C1582" i="9"/>
  <c r="F1581" i="9"/>
  <c r="G1581" i="9" s="1"/>
  <c r="C1581" i="9"/>
  <c r="C1580" i="9"/>
  <c r="C1579" i="9"/>
  <c r="F1571" i="9"/>
  <c r="E1613" i="9"/>
  <c r="F1612" i="9"/>
  <c r="G1612" i="9" s="1"/>
  <c r="C1612" i="9"/>
  <c r="F1611" i="9"/>
  <c r="G1611" i="9" s="1"/>
  <c r="C1611" i="9"/>
  <c r="F1610" i="9"/>
  <c r="G1610" i="9" s="1"/>
  <c r="C1610" i="9"/>
  <c r="F1609" i="9"/>
  <c r="G1609" i="9" s="1"/>
  <c r="C1609" i="9"/>
  <c r="F1608" i="9"/>
  <c r="G1608" i="9" s="1"/>
  <c r="C1608" i="9"/>
  <c r="F1607" i="9"/>
  <c r="G1607" i="9" s="1"/>
  <c r="C1607" i="9"/>
  <c r="F1606" i="9"/>
  <c r="G1606" i="9" s="1"/>
  <c r="C1606" i="9"/>
  <c r="F1598" i="9"/>
  <c r="E1640" i="9"/>
  <c r="F1639" i="9"/>
  <c r="G1639" i="9" s="1"/>
  <c r="C1639" i="9"/>
  <c r="F1638" i="9"/>
  <c r="G1638" i="9" s="1"/>
  <c r="C1638" i="9"/>
  <c r="F1637" i="9"/>
  <c r="G1637" i="9" s="1"/>
  <c r="C1637" i="9"/>
  <c r="F1636" i="9"/>
  <c r="G1636" i="9" s="1"/>
  <c r="C1636" i="9"/>
  <c r="F1635" i="9"/>
  <c r="G1635" i="9" s="1"/>
  <c r="C1635" i="9"/>
  <c r="C1634" i="9"/>
  <c r="C1633" i="9"/>
  <c r="D1630" i="9"/>
  <c r="C1630" i="9"/>
  <c r="C1629" i="9"/>
  <c r="F1628" i="9"/>
  <c r="C1628" i="9"/>
  <c r="C1627" i="9"/>
  <c r="F1625" i="9"/>
  <c r="D1625" i="9"/>
  <c r="E1667" i="9"/>
  <c r="F1666" i="9"/>
  <c r="G1666" i="9" s="1"/>
  <c r="C1666" i="9"/>
  <c r="F1665" i="9"/>
  <c r="G1665" i="9" s="1"/>
  <c r="C1665" i="9"/>
  <c r="F1664" i="9"/>
  <c r="G1664" i="9" s="1"/>
  <c r="C1664" i="9"/>
  <c r="F1663" i="9"/>
  <c r="G1663" i="9" s="1"/>
  <c r="C1663" i="9"/>
  <c r="C1662" i="9"/>
  <c r="C1661" i="9"/>
  <c r="C1660" i="9"/>
  <c r="D1657" i="9"/>
  <c r="C1657" i="9"/>
  <c r="C1656" i="9"/>
  <c r="F1655" i="9"/>
  <c r="C1655" i="9"/>
  <c r="C1654" i="9"/>
  <c r="F1652" i="9"/>
  <c r="D1652" i="9"/>
  <c r="R29" i="2"/>
  <c r="R30" i="2"/>
  <c r="C400" i="9" s="1"/>
  <c r="R31" i="2"/>
  <c r="C1264" i="9" s="1"/>
  <c r="R32" i="2"/>
  <c r="R33" i="2"/>
  <c r="C1075" i="9" s="1"/>
  <c r="R34" i="2"/>
  <c r="F15" i="9" l="1"/>
  <c r="G15" i="9" s="1"/>
  <c r="F42" i="9"/>
  <c r="G42" i="9" s="1"/>
  <c r="F69" i="9"/>
  <c r="G69" i="9" s="1"/>
  <c r="F96" i="9"/>
  <c r="G96" i="9" s="1"/>
  <c r="F1500" i="9"/>
  <c r="G1500" i="9" s="1"/>
  <c r="C1561" i="9"/>
  <c r="C24" i="9"/>
  <c r="C78" i="9"/>
  <c r="F123" i="9"/>
  <c r="G123" i="9" s="1"/>
  <c r="F176" i="9"/>
  <c r="G176" i="9" s="1"/>
  <c r="F149" i="9"/>
  <c r="G149" i="9" s="1"/>
  <c r="F203" i="9"/>
  <c r="G203" i="9" s="1"/>
  <c r="F231" i="9"/>
  <c r="G231" i="9" s="1"/>
  <c r="F285" i="9"/>
  <c r="G285" i="9" s="1"/>
  <c r="F365" i="9"/>
  <c r="G365" i="9" s="1"/>
  <c r="F392" i="9"/>
  <c r="G392" i="9" s="1"/>
  <c r="F499" i="9"/>
  <c r="G499" i="9" s="1"/>
  <c r="F446" i="9"/>
  <c r="G446" i="9" s="1"/>
  <c r="F15" i="5"/>
  <c r="F554" i="9"/>
  <c r="G554" i="9" s="1"/>
  <c r="F581" i="9"/>
  <c r="G581" i="9" s="1"/>
  <c r="C1318" i="9"/>
  <c r="C265" i="9"/>
  <c r="C319" i="9"/>
  <c r="F663" i="9"/>
  <c r="G663" i="9" s="1"/>
  <c r="F664" i="9"/>
  <c r="G664" i="9" s="1"/>
  <c r="F770" i="9"/>
  <c r="G770" i="9" s="1"/>
  <c r="F769" i="9"/>
  <c r="G769" i="9" s="1"/>
  <c r="F635" i="9"/>
  <c r="G635" i="9" s="1"/>
  <c r="F662" i="9"/>
  <c r="G662" i="9" s="1"/>
  <c r="F689" i="9"/>
  <c r="G689" i="9" s="1"/>
  <c r="F932" i="9"/>
  <c r="G932" i="9" s="1"/>
  <c r="F878" i="9"/>
  <c r="G878" i="9" s="1"/>
  <c r="F986" i="9"/>
  <c r="G986" i="9" s="1"/>
  <c r="F905" i="9"/>
  <c r="G905" i="9" s="1"/>
  <c r="F959" i="9"/>
  <c r="G959" i="9" s="1"/>
  <c r="F1094" i="9"/>
  <c r="G1094" i="9" s="1"/>
  <c r="F1148" i="9"/>
  <c r="G1148" i="9" s="1"/>
  <c r="F1121" i="9"/>
  <c r="G1121" i="9" s="1"/>
  <c r="C1183" i="9"/>
  <c r="C1021" i="9"/>
  <c r="F1337" i="9"/>
  <c r="G1337" i="9" s="1"/>
  <c r="F1285" i="9"/>
  <c r="G1285" i="9" s="1"/>
  <c r="F1310" i="9"/>
  <c r="G1310" i="9" s="1"/>
  <c r="F1393" i="9"/>
  <c r="G1393" i="9" s="1"/>
  <c r="F1420" i="9"/>
  <c r="G1420" i="9" s="1"/>
  <c r="F1338" i="9"/>
  <c r="G1338" i="9" s="1"/>
  <c r="F1311" i="9"/>
  <c r="G1311" i="9" s="1"/>
  <c r="F1364" i="9"/>
  <c r="G1364" i="9" s="1"/>
  <c r="F1363" i="9"/>
  <c r="G1363" i="9" s="1"/>
  <c r="F1283" i="9"/>
  <c r="G1283" i="9" s="1"/>
  <c r="F1391" i="9"/>
  <c r="G1391" i="9" s="1"/>
  <c r="F1418" i="9"/>
  <c r="G1418" i="9" s="1"/>
  <c r="F1444" i="9"/>
  <c r="G1444" i="9" s="1"/>
  <c r="G1451" i="9" s="1"/>
  <c r="G1452" i="9" s="1"/>
  <c r="G1453" i="9" s="1"/>
  <c r="F1255" i="9"/>
  <c r="G1255" i="9" s="1"/>
  <c r="F1282" i="9"/>
  <c r="G1282" i="9" s="1"/>
  <c r="F1390" i="9"/>
  <c r="G1390" i="9" s="1"/>
  <c r="F1417" i="9"/>
  <c r="G1417" i="9" s="1"/>
  <c r="F1499" i="9"/>
  <c r="G1499" i="9" s="1"/>
  <c r="G1478" i="9"/>
  <c r="G1479" i="9" s="1"/>
  <c r="G1613" i="9"/>
  <c r="E1694" i="9"/>
  <c r="F1693" i="9"/>
  <c r="G1693" i="9" s="1"/>
  <c r="C1693" i="9"/>
  <c r="F1692" i="9"/>
  <c r="G1692" i="9" s="1"/>
  <c r="C1692" i="9"/>
  <c r="F1691" i="9"/>
  <c r="G1691" i="9" s="1"/>
  <c r="C1691" i="9"/>
  <c r="F1690" i="9"/>
  <c r="G1690" i="9" s="1"/>
  <c r="C1690" i="9"/>
  <c r="F1689" i="9"/>
  <c r="G1689" i="9" s="1"/>
  <c r="C1689" i="9"/>
  <c r="C1688" i="9"/>
  <c r="C1687" i="9"/>
  <c r="D1684" i="9"/>
  <c r="C1684" i="9"/>
  <c r="C1683" i="9"/>
  <c r="F1682" i="9"/>
  <c r="C1682" i="9"/>
  <c r="C1681" i="9"/>
  <c r="F1679" i="9"/>
  <c r="D1679" i="9"/>
  <c r="D10" i="6"/>
  <c r="D11" i="6"/>
  <c r="D12" i="6"/>
  <c r="D13" i="6"/>
  <c r="F665" i="9" s="1"/>
  <c r="G665" i="9" s="1"/>
  <c r="D14" i="6"/>
  <c r="D7" i="6"/>
  <c r="F43" i="9" l="1"/>
  <c r="G43" i="9" s="1"/>
  <c r="F16" i="9"/>
  <c r="G16" i="9" s="1"/>
  <c r="F70" i="9"/>
  <c r="G70" i="9" s="1"/>
  <c r="F97" i="9"/>
  <c r="G97" i="9" s="1"/>
  <c r="F796" i="9"/>
  <c r="G796" i="9" s="1"/>
  <c r="F526" i="9"/>
  <c r="G526" i="9" s="1"/>
  <c r="F1660" i="9"/>
  <c r="G1660" i="9" s="1"/>
  <c r="F204" i="9"/>
  <c r="G204" i="9" s="1"/>
  <c r="F150" i="9"/>
  <c r="G150" i="9" s="1"/>
  <c r="F256" i="9"/>
  <c r="G256" i="9" s="1"/>
  <c r="G263" i="9" s="1"/>
  <c r="G264" i="9" s="1"/>
  <c r="G265" i="9" s="1"/>
  <c r="F310" i="9"/>
  <c r="G310" i="9" s="1"/>
  <c r="G317" i="9" s="1"/>
  <c r="G318" i="9" s="1"/>
  <c r="G319" i="9" s="1"/>
  <c r="F205" i="9"/>
  <c r="G205" i="9" s="1"/>
  <c r="F177" i="9"/>
  <c r="G177" i="9" s="1"/>
  <c r="F152" i="9"/>
  <c r="G152" i="9" s="1"/>
  <c r="F233" i="9"/>
  <c r="G233" i="9" s="1"/>
  <c r="F287" i="9"/>
  <c r="G287" i="9" s="1"/>
  <c r="F501" i="9"/>
  <c r="G501" i="9" s="1"/>
  <c r="F447" i="9"/>
  <c r="G447" i="9" s="1"/>
  <c r="F473" i="9"/>
  <c r="G473" i="9" s="1"/>
  <c r="F527" i="9"/>
  <c r="G527" i="9" s="1"/>
  <c r="F555" i="9"/>
  <c r="G555" i="9" s="1"/>
  <c r="F583" i="9"/>
  <c r="G583" i="9" s="1"/>
  <c r="G776" i="9"/>
  <c r="G777" i="9" s="1"/>
  <c r="G778" i="9" s="1"/>
  <c r="F666" i="9"/>
  <c r="G666" i="9" s="1"/>
  <c r="F797" i="9"/>
  <c r="G797" i="9" s="1"/>
  <c r="G803" i="9" s="1"/>
  <c r="G804" i="9" s="1"/>
  <c r="G805" i="9" s="1"/>
  <c r="F933" i="9"/>
  <c r="G933" i="9" s="1"/>
  <c r="F1096" i="9"/>
  <c r="G1096" i="9" s="1"/>
  <c r="F1230" i="9"/>
  <c r="G1230" i="9" s="1"/>
  <c r="F1688" i="9"/>
  <c r="G1688" i="9" s="1"/>
  <c r="G1370" i="9"/>
  <c r="G1371" i="9" s="1"/>
  <c r="G1372" i="9" s="1"/>
  <c r="F1257" i="9"/>
  <c r="G1257" i="9" s="1"/>
  <c r="F1286" i="9"/>
  <c r="G1286" i="9" s="1"/>
  <c r="F1312" i="9"/>
  <c r="G1312" i="9" s="1"/>
  <c r="F1394" i="9"/>
  <c r="G1394" i="9" s="1"/>
  <c r="F1421" i="9"/>
  <c r="G1421" i="9" s="1"/>
  <c r="F1526" i="9"/>
  <c r="G1526" i="9" s="1"/>
  <c r="F1553" i="9"/>
  <c r="G1553" i="9" s="1"/>
  <c r="F1580" i="9"/>
  <c r="G1580" i="9" s="1"/>
  <c r="F1634" i="9"/>
  <c r="G1634" i="9" s="1"/>
  <c r="F1662" i="9"/>
  <c r="G1662" i="9" s="1"/>
  <c r="F1501" i="9"/>
  <c r="G1501" i="9" s="1"/>
  <c r="F1552" i="9"/>
  <c r="G1552" i="9" s="1"/>
  <c r="F1579" i="9"/>
  <c r="G1579" i="9" s="1"/>
  <c r="G1480" i="9"/>
  <c r="G1614" i="9"/>
  <c r="G1615" i="9" s="1"/>
  <c r="R35" i="2"/>
  <c r="C1345" i="9" s="1"/>
  <c r="R36" i="2"/>
  <c r="C940" i="9" s="1"/>
  <c r="R37" i="2"/>
  <c r="R38" i="2"/>
  <c r="C157" i="9" s="1"/>
  <c r="R39" i="2"/>
  <c r="C859" i="9" s="1"/>
  <c r="R40" i="2"/>
  <c r="C1048" i="9" s="1"/>
  <c r="R41" i="2"/>
  <c r="C1237" i="9" s="1"/>
  <c r="R42" i="2"/>
  <c r="R43" i="2"/>
  <c r="R44" i="2"/>
  <c r="C832" i="9" s="1"/>
  <c r="R45" i="2"/>
  <c r="R46" i="2"/>
  <c r="R47" i="2"/>
  <c r="C562" i="9" s="1"/>
  <c r="R48" i="2"/>
  <c r="R49" i="2"/>
  <c r="R50" i="2"/>
  <c r="R51" i="2"/>
  <c r="C751" i="9" s="1"/>
  <c r="R52" i="2"/>
  <c r="R54" i="2"/>
  <c r="R55" i="2"/>
  <c r="C508" i="9" s="1"/>
  <c r="R57" i="2"/>
  <c r="C778" i="9" l="1"/>
  <c r="C105" i="9"/>
  <c r="G533" i="9"/>
  <c r="G534" i="9" s="1"/>
  <c r="G535" i="9" s="1"/>
  <c r="C913" i="9"/>
  <c r="C184" i="9"/>
  <c r="C1507" i="9"/>
  <c r="C454" i="9"/>
  <c r="C886" i="9"/>
  <c r="C697" i="9"/>
  <c r="G1586" i="9"/>
  <c r="G1587" i="9" s="1"/>
  <c r="G1588" i="9" s="1"/>
  <c r="C1534" i="9"/>
  <c r="C1210" i="9"/>
  <c r="G1559" i="9"/>
  <c r="G1560" i="9" s="1"/>
  <c r="G1561" i="9" s="1"/>
  <c r="C1291" i="9"/>
  <c r="C1399" i="9"/>
  <c r="C1426" i="9"/>
  <c r="C1642" i="9"/>
  <c r="C1696" i="9"/>
  <c r="C1669" i="9"/>
  <c r="S57" i="2"/>
  <c r="R59" i="2" l="1"/>
  <c r="R58" i="2"/>
  <c r="R60" i="2"/>
  <c r="R61" i="2"/>
  <c r="C616" i="9" l="1"/>
  <c r="C724" i="9"/>
  <c r="C1156" i="9"/>
  <c r="C994" i="9"/>
  <c r="C1372" i="9"/>
  <c r="C1453" i="9"/>
  <c r="E1721" i="9" l="1"/>
  <c r="F1720" i="9"/>
  <c r="G1720" i="9" s="1"/>
  <c r="C1720" i="9"/>
  <c r="F1719" i="9"/>
  <c r="G1719" i="9" s="1"/>
  <c r="C1719" i="9"/>
  <c r="F1718" i="9"/>
  <c r="G1718" i="9" s="1"/>
  <c r="C1718" i="9"/>
  <c r="F1717" i="9"/>
  <c r="G1717" i="9" s="1"/>
  <c r="C1717" i="9"/>
  <c r="F1716" i="9"/>
  <c r="G1716" i="9" s="1"/>
  <c r="C1716" i="9"/>
  <c r="F1715" i="9"/>
  <c r="G1715" i="9" s="1"/>
  <c r="C1715" i="9"/>
  <c r="C1714" i="9"/>
  <c r="F1706" i="9"/>
  <c r="E1748" i="9" l="1"/>
  <c r="F1747" i="9"/>
  <c r="G1747" i="9" s="1"/>
  <c r="C1747" i="9"/>
  <c r="F1746" i="9"/>
  <c r="G1746" i="9" s="1"/>
  <c r="C1746" i="9"/>
  <c r="F1745" i="9"/>
  <c r="G1745" i="9" s="1"/>
  <c r="C1745" i="9"/>
  <c r="F1744" i="9"/>
  <c r="G1744" i="9" s="1"/>
  <c r="C1744" i="9"/>
  <c r="F1743" i="9"/>
  <c r="G1743" i="9" s="1"/>
  <c r="C1743" i="9"/>
  <c r="F1742" i="9"/>
  <c r="G1742" i="9" s="1"/>
  <c r="C1742" i="9"/>
  <c r="C1741" i="9"/>
  <c r="F1733" i="9"/>
  <c r="D8" i="6"/>
  <c r="D5" i="6"/>
  <c r="D6" i="6"/>
  <c r="F1714" i="9" s="1"/>
  <c r="G1714" i="9" s="1"/>
  <c r="G1721" i="9" s="1"/>
  <c r="F1741" i="9" l="1"/>
  <c r="G1741" i="9" s="1"/>
  <c r="F41" i="9"/>
  <c r="G41" i="9" s="1"/>
  <c r="G49" i="9" s="1"/>
  <c r="G50" i="9" s="1"/>
  <c r="G51" i="9" s="1"/>
  <c r="F14" i="9"/>
  <c r="G14" i="9" s="1"/>
  <c r="G22" i="9" s="1"/>
  <c r="F68" i="9"/>
  <c r="G68" i="9" s="1"/>
  <c r="G76" i="9" s="1"/>
  <c r="G77" i="9" s="1"/>
  <c r="G78" i="9" s="1"/>
  <c r="F95" i="9"/>
  <c r="G95" i="9" s="1"/>
  <c r="G103" i="9" s="1"/>
  <c r="G104" i="9" s="1"/>
  <c r="G105" i="9" s="1"/>
  <c r="F122" i="9"/>
  <c r="G122" i="9" s="1"/>
  <c r="G130" i="9" s="1"/>
  <c r="G131" i="9" s="1"/>
  <c r="G132" i="9" s="1"/>
  <c r="F148" i="9"/>
  <c r="G148" i="9" s="1"/>
  <c r="G155" i="9" s="1"/>
  <c r="G156" i="9" s="1"/>
  <c r="G157" i="9" s="1"/>
  <c r="F175" i="9"/>
  <c r="G175" i="9" s="1"/>
  <c r="G182" i="9" s="1"/>
  <c r="G183" i="9" s="1"/>
  <c r="G184" i="9" s="1"/>
  <c r="F202" i="9"/>
  <c r="G202" i="9" s="1"/>
  <c r="G209" i="9" s="1"/>
  <c r="G210" i="9" s="1"/>
  <c r="G211" i="9" s="1"/>
  <c r="F230" i="9"/>
  <c r="G230" i="9" s="1"/>
  <c r="G236" i="9" s="1"/>
  <c r="G237" i="9" s="1"/>
  <c r="G238" i="9" s="1"/>
  <c r="F284" i="9"/>
  <c r="G284" i="9" s="1"/>
  <c r="G290" i="9" s="1"/>
  <c r="G291" i="9" s="1"/>
  <c r="G292" i="9" s="1"/>
  <c r="F337" i="9"/>
  <c r="G337" i="9" s="1"/>
  <c r="G344" i="9" s="1"/>
  <c r="G345" i="9" s="1"/>
  <c r="G346" i="9" s="1"/>
  <c r="F364" i="9"/>
  <c r="G364" i="9" s="1"/>
  <c r="G371" i="9" s="1"/>
  <c r="G372" i="9" s="1"/>
  <c r="G373" i="9" s="1"/>
  <c r="F418" i="9"/>
  <c r="G418" i="9" s="1"/>
  <c r="G425" i="9" s="1"/>
  <c r="G426" i="9" s="1"/>
  <c r="G427" i="9" s="1"/>
  <c r="F391" i="9"/>
  <c r="G391" i="9" s="1"/>
  <c r="G398" i="9" s="1"/>
  <c r="G399" i="9" s="1"/>
  <c r="G400" i="9" s="1"/>
  <c r="F500" i="9"/>
  <c r="G500" i="9" s="1"/>
  <c r="G506" i="9" s="1"/>
  <c r="G507" i="9" s="1"/>
  <c r="G508" i="9" s="1"/>
  <c r="F472" i="9"/>
  <c r="G472" i="9" s="1"/>
  <c r="G479" i="9" s="1"/>
  <c r="G480" i="9" s="1"/>
  <c r="G481" i="9" s="1"/>
  <c r="F445" i="9"/>
  <c r="G445" i="9" s="1"/>
  <c r="G452" i="9" s="1"/>
  <c r="G453" i="9" s="1"/>
  <c r="G454" i="9" s="1"/>
  <c r="F553" i="9"/>
  <c r="G553" i="9" s="1"/>
  <c r="G560" i="9" s="1"/>
  <c r="G561" i="9" s="1"/>
  <c r="G562" i="9" s="1"/>
  <c r="F580" i="9"/>
  <c r="G580" i="9" s="1"/>
  <c r="G587" i="9" s="1"/>
  <c r="G588" i="9" s="1"/>
  <c r="G589" i="9" s="1"/>
  <c r="F14" i="5"/>
  <c r="F634" i="9"/>
  <c r="G634" i="9" s="1"/>
  <c r="G641" i="9" s="1"/>
  <c r="F661" i="9"/>
  <c r="G661" i="9" s="1"/>
  <c r="G668" i="9" s="1"/>
  <c r="G669" i="9" s="1"/>
  <c r="G670" i="9" s="1"/>
  <c r="F688" i="9"/>
  <c r="G688" i="9" s="1"/>
  <c r="G695" i="9" s="1"/>
  <c r="G696" i="9" s="1"/>
  <c r="G697" i="9" s="1"/>
  <c r="F742" i="9"/>
  <c r="G742" i="9" s="1"/>
  <c r="G749" i="9" s="1"/>
  <c r="G750" i="9" s="1"/>
  <c r="G751" i="9" s="1"/>
  <c r="F823" i="9"/>
  <c r="G823" i="9" s="1"/>
  <c r="G830" i="9" s="1"/>
  <c r="G831" i="9" s="1"/>
  <c r="G832" i="9" s="1"/>
  <c r="F850" i="9"/>
  <c r="G850" i="9" s="1"/>
  <c r="G857" i="9" s="1"/>
  <c r="G858" i="9" s="1"/>
  <c r="G859" i="9" s="1"/>
  <c r="F958" i="9"/>
  <c r="G958" i="9" s="1"/>
  <c r="G965" i="9" s="1"/>
  <c r="G966" i="9" s="1"/>
  <c r="G967" i="9" s="1"/>
  <c r="F1066" i="9"/>
  <c r="G1066" i="9" s="1"/>
  <c r="G1073" i="9" s="1"/>
  <c r="G1074" i="9" s="1"/>
  <c r="G1075" i="9" s="1"/>
  <c r="F904" i="9"/>
  <c r="G904" i="9" s="1"/>
  <c r="G911" i="9" s="1"/>
  <c r="G912" i="9" s="1"/>
  <c r="G913" i="9" s="1"/>
  <c r="F1012" i="9"/>
  <c r="G1012" i="9" s="1"/>
  <c r="G1019" i="9" s="1"/>
  <c r="G1020" i="9" s="1"/>
  <c r="G1021" i="9" s="1"/>
  <c r="F931" i="9"/>
  <c r="G931" i="9" s="1"/>
  <c r="G938" i="9" s="1"/>
  <c r="G939" i="9" s="1"/>
  <c r="G940" i="9" s="1"/>
  <c r="F1039" i="9"/>
  <c r="G1039" i="9" s="1"/>
  <c r="G1046" i="9" s="1"/>
  <c r="G1047" i="9" s="1"/>
  <c r="G1048" i="9" s="1"/>
  <c r="F877" i="9"/>
  <c r="G877" i="9" s="1"/>
  <c r="G884" i="9" s="1"/>
  <c r="G885" i="9" s="1"/>
  <c r="G886" i="9" s="1"/>
  <c r="F985" i="9"/>
  <c r="G985" i="9" s="1"/>
  <c r="G992" i="9" s="1"/>
  <c r="G993" i="9" s="1"/>
  <c r="G994" i="9" s="1"/>
  <c r="F1093" i="9"/>
  <c r="G1093" i="9" s="1"/>
  <c r="G1100" i="9" s="1"/>
  <c r="G1101" i="9" s="1"/>
  <c r="G1102" i="9" s="1"/>
  <c r="F1147" i="9"/>
  <c r="G1147" i="9" s="1"/>
  <c r="G1154" i="9" s="1"/>
  <c r="G1155" i="9" s="1"/>
  <c r="G1156" i="9" s="1"/>
  <c r="F1120" i="9"/>
  <c r="G1120" i="9" s="1"/>
  <c r="G1127" i="9" s="1"/>
  <c r="G1128" i="9" s="1"/>
  <c r="G1129" i="9" s="1"/>
  <c r="F1174" i="9"/>
  <c r="G1174" i="9" s="1"/>
  <c r="G1181" i="9" s="1"/>
  <c r="G1182" i="9" s="1"/>
  <c r="G1183" i="9" s="1"/>
  <c r="F1201" i="9"/>
  <c r="G1201" i="9" s="1"/>
  <c r="G1208" i="9" s="1"/>
  <c r="G1209" i="9" s="1"/>
  <c r="G1210" i="9" s="1"/>
  <c r="F1228" i="9"/>
  <c r="G1228" i="9" s="1"/>
  <c r="F1229" i="9"/>
  <c r="G1229" i="9" s="1"/>
  <c r="F1256" i="9"/>
  <c r="G1256" i="9" s="1"/>
  <c r="G1262" i="9" s="1"/>
  <c r="F1309" i="9"/>
  <c r="G1309" i="9" s="1"/>
  <c r="G1316" i="9" s="1"/>
  <c r="G1317" i="9" s="1"/>
  <c r="G1318" i="9" s="1"/>
  <c r="F1336" i="9"/>
  <c r="G1336" i="9" s="1"/>
  <c r="G1343" i="9" s="1"/>
  <c r="G1344" i="9" s="1"/>
  <c r="G1345" i="9" s="1"/>
  <c r="F1284" i="9"/>
  <c r="G1284" i="9" s="1"/>
  <c r="G1289" i="9" s="1"/>
  <c r="G1290" i="9" s="1"/>
  <c r="G1291" i="9" s="1"/>
  <c r="F1392" i="9"/>
  <c r="G1392" i="9" s="1"/>
  <c r="G1397" i="9" s="1"/>
  <c r="G1398" i="9" s="1"/>
  <c r="G1399" i="9" s="1"/>
  <c r="F1419" i="9"/>
  <c r="G1419" i="9" s="1"/>
  <c r="G1424" i="9" s="1"/>
  <c r="G1425" i="9" s="1"/>
  <c r="G1426" i="9" s="1"/>
  <c r="F1661" i="9"/>
  <c r="G1661" i="9" s="1"/>
  <c r="G1667" i="9" s="1"/>
  <c r="G1668" i="9" s="1"/>
  <c r="G1669" i="9" s="1"/>
  <c r="F1498" i="9"/>
  <c r="G1498" i="9" s="1"/>
  <c r="G1505" i="9" s="1"/>
  <c r="G1506" i="9" s="1"/>
  <c r="G1507" i="9" s="1"/>
  <c r="F1525" i="9"/>
  <c r="G1525" i="9" s="1"/>
  <c r="G1532" i="9" s="1"/>
  <c r="G1533" i="9" s="1"/>
  <c r="G1534" i="9" s="1"/>
  <c r="F1633" i="9"/>
  <c r="G1633" i="9" s="1"/>
  <c r="G1640" i="9" s="1"/>
  <c r="G1641" i="9" s="1"/>
  <c r="G1642" i="9" s="1"/>
  <c r="F1687" i="9"/>
  <c r="G1687" i="9" s="1"/>
  <c r="G1694" i="9" s="1"/>
  <c r="G1695" i="9" s="1"/>
  <c r="G1696" i="9" s="1"/>
  <c r="G1722" i="9"/>
  <c r="G1723" i="9" s="1"/>
  <c r="G1748" i="9"/>
  <c r="E1775" i="9"/>
  <c r="F1774" i="9"/>
  <c r="G1774" i="9" s="1"/>
  <c r="C1774" i="9"/>
  <c r="F1773" i="9"/>
  <c r="G1773" i="9" s="1"/>
  <c r="C1773" i="9"/>
  <c r="F1772" i="9"/>
  <c r="G1772" i="9" s="1"/>
  <c r="C1772" i="9"/>
  <c r="F1771" i="9"/>
  <c r="G1771" i="9" s="1"/>
  <c r="C1771" i="9"/>
  <c r="F1770" i="9"/>
  <c r="G1770" i="9" s="1"/>
  <c r="C1770" i="9"/>
  <c r="F1769" i="9"/>
  <c r="G1769" i="9" s="1"/>
  <c r="C1769" i="9"/>
  <c r="F1768" i="9"/>
  <c r="G1768" i="9" s="1"/>
  <c r="C1768" i="9"/>
  <c r="F1760" i="9"/>
  <c r="E1802" i="9"/>
  <c r="F1801" i="9"/>
  <c r="G1801" i="9" s="1"/>
  <c r="C1801" i="9"/>
  <c r="F1800" i="9"/>
  <c r="G1800" i="9" s="1"/>
  <c r="C1800" i="9"/>
  <c r="F1799" i="9"/>
  <c r="G1799" i="9" s="1"/>
  <c r="C1799" i="9"/>
  <c r="F1798" i="9"/>
  <c r="G1798" i="9" s="1"/>
  <c r="C1798" i="9"/>
  <c r="F1797" i="9"/>
  <c r="G1797" i="9" s="1"/>
  <c r="C1797" i="9"/>
  <c r="F1796" i="9"/>
  <c r="G1796" i="9" s="1"/>
  <c r="C1796" i="9"/>
  <c r="F1795" i="9"/>
  <c r="G1795" i="9" s="1"/>
  <c r="C1795" i="9"/>
  <c r="F1787" i="9"/>
  <c r="G23" i="9" l="1"/>
  <c r="G24" i="9" s="1"/>
  <c r="G1235" i="9"/>
  <c r="G1236" i="9" s="1"/>
  <c r="G1237" i="9" s="1"/>
  <c r="G642" i="9"/>
  <c r="G643" i="9" s="1"/>
  <c r="G1263" i="9"/>
  <c r="G1264" i="9" s="1"/>
  <c r="G1749" i="9"/>
  <c r="G1750" i="9" s="1"/>
  <c r="G1775" i="9"/>
  <c r="G1776" i="9" s="1"/>
  <c r="G1777" i="9" s="1"/>
  <c r="G1802" i="9"/>
  <c r="G1803" i="9" s="1"/>
  <c r="G1804" i="9" s="1"/>
  <c r="E20" i="11"/>
  <c r="F19" i="11"/>
  <c r="G19" i="11" s="1"/>
  <c r="C19" i="11"/>
  <c r="F18" i="11"/>
  <c r="G18" i="11" s="1"/>
  <c r="C18" i="11"/>
  <c r="F17" i="11"/>
  <c r="G17" i="11" s="1"/>
  <c r="C17" i="11"/>
  <c r="F16" i="11"/>
  <c r="G16" i="11" s="1"/>
  <c r="C16" i="11"/>
  <c r="F15" i="11"/>
  <c r="G15" i="11" s="1"/>
  <c r="C15" i="11"/>
  <c r="F14" i="11"/>
  <c r="G14" i="11" s="1"/>
  <c r="C14" i="11"/>
  <c r="F13" i="11"/>
  <c r="G13" i="11" s="1"/>
  <c r="C13" i="11"/>
  <c r="F5" i="11"/>
  <c r="G20" i="11" l="1"/>
  <c r="G21" i="11" s="1"/>
  <c r="G22" i="11" s="1"/>
  <c r="E1829" i="9" l="1"/>
  <c r="F1828" i="9"/>
  <c r="G1828" i="9" s="1"/>
  <c r="C1828" i="9"/>
  <c r="F1827" i="9"/>
  <c r="G1827" i="9" s="1"/>
  <c r="C1827" i="9"/>
  <c r="F1826" i="9"/>
  <c r="G1826" i="9" s="1"/>
  <c r="C1826" i="9"/>
  <c r="F1825" i="9"/>
  <c r="G1825" i="9" s="1"/>
  <c r="C1825" i="9"/>
  <c r="F1824" i="9"/>
  <c r="G1824" i="9" s="1"/>
  <c r="C1824" i="9"/>
  <c r="F1823" i="9"/>
  <c r="G1823" i="9" s="1"/>
  <c r="C1823" i="9"/>
  <c r="F1822" i="9"/>
  <c r="G1822" i="9" s="1"/>
  <c r="C1822" i="9"/>
  <c r="F1814" i="9"/>
  <c r="E1856" i="9"/>
  <c r="F1855" i="9"/>
  <c r="G1855" i="9" s="1"/>
  <c r="C1855" i="9"/>
  <c r="F1854" i="9"/>
  <c r="G1854" i="9" s="1"/>
  <c r="C1854" i="9"/>
  <c r="F1853" i="9"/>
  <c r="G1853" i="9" s="1"/>
  <c r="C1853" i="9"/>
  <c r="F1852" i="9"/>
  <c r="G1852" i="9" s="1"/>
  <c r="C1852" i="9"/>
  <c r="F1851" i="9"/>
  <c r="G1851" i="9" s="1"/>
  <c r="C1851" i="9"/>
  <c r="F1850" i="9"/>
  <c r="G1850" i="9" s="1"/>
  <c r="C1850" i="9"/>
  <c r="F1849" i="9"/>
  <c r="G1849" i="9" s="1"/>
  <c r="C1849" i="9"/>
  <c r="F1841" i="9"/>
  <c r="G1829" i="9" l="1"/>
  <c r="G1856" i="9"/>
  <c r="G1857" i="9" s="1"/>
  <c r="G1858" i="9" s="1"/>
  <c r="G1830" i="9" l="1"/>
  <c r="G1831" i="9" s="1"/>
  <c r="G15" i="5" l="1"/>
  <c r="F16" i="5"/>
  <c r="G16" i="5" s="1"/>
  <c r="F17" i="5"/>
  <c r="G17" i="5" s="1"/>
  <c r="F18" i="5"/>
  <c r="G18" i="5" s="1"/>
  <c r="F20" i="5"/>
  <c r="G20" i="5" s="1"/>
  <c r="F21" i="5"/>
  <c r="G21" i="5" s="1"/>
  <c r="D21" i="5"/>
  <c r="C22" i="5"/>
  <c r="D4" i="6"/>
  <c r="G14" i="5" s="1"/>
  <c r="F6" i="6"/>
  <c r="F7" i="6"/>
  <c r="F5" i="6"/>
  <c r="F8" i="6"/>
  <c r="D4" i="4"/>
  <c r="D12" i="4" s="1"/>
  <c r="D6" i="4"/>
  <c r="C17" i="4"/>
  <c r="F4" i="6" l="1"/>
  <c r="G22" i="5"/>
  <c r="B66" i="2"/>
  <c r="G23" i="5" l="1"/>
  <c r="G24" i="5" s="1"/>
  <c r="B65" i="2"/>
  <c r="B64" i="2" l="1"/>
  <c r="P5" i="2" l="1"/>
  <c r="O5" i="2" s="1"/>
  <c r="R5" i="2"/>
  <c r="G118" i="9"/>
  <c r="R7" i="2"/>
  <c r="P53" i="2"/>
  <c r="O53" i="2" s="1"/>
  <c r="P7" i="2"/>
  <c r="O7" i="2" s="1"/>
  <c r="P56" i="2"/>
  <c r="O56" i="2" s="1"/>
  <c r="O62" i="2"/>
  <c r="G225" i="9"/>
  <c r="G279" i="9"/>
  <c r="G576" i="9"/>
  <c r="F603" i="9"/>
  <c r="G603" i="9" s="1"/>
  <c r="E10" i="5"/>
  <c r="F10" i="5" s="1"/>
  <c r="G10" i="5" s="1"/>
  <c r="R62" i="2"/>
  <c r="C132" i="9" s="1"/>
  <c r="C1466" i="9"/>
  <c r="F1574" i="9"/>
  <c r="F1601" i="9"/>
  <c r="C1603" i="9"/>
  <c r="C1465" i="9"/>
  <c r="C1574" i="9"/>
  <c r="C1601" i="9"/>
  <c r="D1576" i="9"/>
  <c r="C1576" i="9"/>
  <c r="C1602" i="9"/>
  <c r="C1573" i="9"/>
  <c r="C1600" i="9"/>
  <c r="D1598" i="9"/>
  <c r="C1588" i="9"/>
  <c r="C1615" i="9"/>
  <c r="D1603" i="9"/>
  <c r="D1463" i="9"/>
  <c r="C1467" i="9"/>
  <c r="C1480" i="9"/>
  <c r="D1468" i="9"/>
  <c r="D1571" i="9"/>
  <c r="C1468" i="9"/>
  <c r="F1466" i="9"/>
  <c r="C1575" i="9"/>
  <c r="R56" i="2"/>
  <c r="R53" i="2"/>
  <c r="C1711" i="9"/>
  <c r="C1708" i="9"/>
  <c r="D1711" i="9"/>
  <c r="C1710" i="9"/>
  <c r="C1709" i="9"/>
  <c r="F1709" i="9"/>
  <c r="D1706" i="9"/>
  <c r="C1738" i="9"/>
  <c r="C1735" i="9"/>
  <c r="D1738" i="9"/>
  <c r="C1737" i="9"/>
  <c r="C1736" i="9"/>
  <c r="C1723" i="9"/>
  <c r="F1736" i="9"/>
  <c r="D1733" i="9"/>
  <c r="C1750" i="9"/>
  <c r="D19" i="1"/>
  <c r="C1764" i="9"/>
  <c r="F1790" i="9"/>
  <c r="D1787" i="9"/>
  <c r="C1765" i="9"/>
  <c r="F1763" i="9"/>
  <c r="C1762" i="9"/>
  <c r="D1760" i="9"/>
  <c r="D1792" i="9"/>
  <c r="C1791" i="9"/>
  <c r="C1790" i="9"/>
  <c r="D1765" i="9"/>
  <c r="C1763" i="9"/>
  <c r="C1792" i="9"/>
  <c r="C1789" i="9"/>
  <c r="D1846" i="9"/>
  <c r="C1843" i="9"/>
  <c r="F1844" i="9"/>
  <c r="C1844" i="9"/>
  <c r="C1846" i="9"/>
  <c r="D1841" i="9"/>
  <c r="C1845" i="9"/>
  <c r="R70" i="2"/>
  <c r="C10" i="11"/>
  <c r="C7" i="11"/>
  <c r="D10" i="11"/>
  <c r="C8" i="11"/>
  <c r="F1817" i="9"/>
  <c r="D1814" i="9"/>
  <c r="C1818" i="9"/>
  <c r="D5" i="11"/>
  <c r="C1819" i="9"/>
  <c r="D1819" i="9"/>
  <c r="C1817" i="9"/>
  <c r="F8" i="11"/>
  <c r="C9" i="11"/>
  <c r="C1816" i="9"/>
  <c r="D5" i="5"/>
  <c r="C11" i="5"/>
  <c r="C7" i="5"/>
  <c r="C9" i="5"/>
  <c r="F8" i="5"/>
  <c r="D11" i="5"/>
  <c r="C8" i="5"/>
  <c r="C1858" i="9"/>
  <c r="R65" i="2"/>
  <c r="C22" i="11" s="1"/>
  <c r="R66" i="2"/>
  <c r="R72" i="2"/>
  <c r="R67" i="2"/>
  <c r="R71" i="2"/>
  <c r="R73" i="2"/>
  <c r="R68" i="2"/>
  <c r="R64" i="2"/>
  <c r="C1831" i="9" s="1"/>
  <c r="C238" i="9" l="1"/>
  <c r="C292" i="9"/>
  <c r="C1129" i="9"/>
  <c r="C589" i="9"/>
  <c r="C967" i="9"/>
  <c r="C1777" i="9"/>
  <c r="C1804" i="9"/>
  <c r="C24" i="5"/>
</calcChain>
</file>

<file path=xl/sharedStrings.xml><?xml version="1.0" encoding="utf-8"?>
<sst xmlns="http://schemas.openxmlformats.org/spreadsheetml/2006/main" count="2494" uniqueCount="480">
  <si>
    <t>Nombre completo</t>
  </si>
  <si>
    <t>Calle y número</t>
  </si>
  <si>
    <t>Colonia y municipio</t>
  </si>
  <si>
    <t>Estado de la República</t>
  </si>
  <si>
    <t>Telefóno(s)</t>
  </si>
  <si>
    <t>Sexo</t>
  </si>
  <si>
    <t>Fecha de nacimiento</t>
  </si>
  <si>
    <t>RFC y homoclave</t>
  </si>
  <si>
    <t>CURP</t>
  </si>
  <si>
    <t>Banco</t>
  </si>
  <si>
    <t>Clabe interbancaria</t>
  </si>
  <si>
    <t>Beneficiario +18</t>
  </si>
  <si>
    <t>Nombre del patrocinador</t>
  </si>
  <si>
    <t>ID del patrocinador</t>
  </si>
  <si>
    <t>Código Postal</t>
  </si>
  <si>
    <t>REGISTRO DE SOCIOS NUEVOS LINLIFE</t>
  </si>
  <si>
    <t>CALLE 3 #193</t>
  </si>
  <si>
    <t>EDO MEX</t>
  </si>
  <si>
    <t>NA</t>
  </si>
  <si>
    <t>CHA180613945</t>
  </si>
  <si>
    <t>BANAMEX</t>
  </si>
  <si>
    <t>PENDIENTE</t>
  </si>
  <si>
    <t>LIN LIFE</t>
  </si>
  <si>
    <t>ID SISTEMA</t>
  </si>
  <si>
    <t>ESPERANZA, CD NEZA</t>
  </si>
  <si>
    <t>JONATHAN ALFONSO LINARES PARRILLA</t>
  </si>
  <si>
    <t>TEQUIO MZ 447 LT 22</t>
  </si>
  <si>
    <t>BARRIO PLATEROS, CHIMALHUACÁN</t>
  </si>
  <si>
    <t>M</t>
  </si>
  <si>
    <t>LIPJ9512118X4</t>
  </si>
  <si>
    <t>LIPJ951211HMCNRN03</t>
  </si>
  <si>
    <t>GUADALUPE CASTAÑEDA CRUZ</t>
  </si>
  <si>
    <t>DAVID HERNÁNDEZ MORENO</t>
  </si>
  <si>
    <t>Calle del rastro 9-A</t>
  </si>
  <si>
    <t>Col. Ricardo Flores Magon, Boca del Rio</t>
  </si>
  <si>
    <t>VERACRUZ</t>
  </si>
  <si>
    <t>HEMD941010HJCRRV00</t>
  </si>
  <si>
    <t>BANCOPPEL</t>
  </si>
  <si>
    <t>DAVID PARRILLA DE LEON</t>
  </si>
  <si>
    <t>COL ESPERANZA, CD NEZA</t>
  </si>
  <si>
    <t>PALD7412318B3</t>
  </si>
  <si>
    <t>BANCO AZTECA</t>
  </si>
  <si>
    <t>BLACA ESTHER MELO ORTIZ</t>
  </si>
  <si>
    <t>CALLE 1 FRANCISCO RIVERA SMZ 5 MZ 10 LT 23</t>
  </si>
  <si>
    <t>U HAB. VICENTE GUERRERO, IZTAPALAPA</t>
  </si>
  <si>
    <t>CDMX</t>
  </si>
  <si>
    <t>F</t>
  </si>
  <si>
    <t>MEOB71226B32</t>
  </si>
  <si>
    <t>MEOB711226MDFLRL05</t>
  </si>
  <si>
    <t xml:space="preserve">EMMANUEL CORTES RUIZ </t>
  </si>
  <si>
    <t>C GREGORIO MELERO MZA 1 LT 41</t>
  </si>
  <si>
    <t xml:space="preserve"> BARR JUGUETEROS, CHIMALHUACAN</t>
  </si>
  <si>
    <t>CORE920101HOCRZM06</t>
  </si>
  <si>
    <t>SEÑORA CASA LUMA</t>
  </si>
  <si>
    <t>BIEN LEJOS</t>
  </si>
  <si>
    <t>LEJOS</t>
  </si>
  <si>
    <t>SDFGHJ</t>
  </si>
  <si>
    <t>Total</t>
  </si>
  <si>
    <t>Consigna</t>
  </si>
  <si>
    <t>Recuperados</t>
  </si>
  <si>
    <t>Ventas directas SOCIOS</t>
  </si>
  <si>
    <t>Ventas red de DISTRIBUIDORES</t>
  </si>
  <si>
    <t>Producto para Socios</t>
  </si>
  <si>
    <t>DEBE 27 BOTES, DE LOS CUALES 26 LOS TIENE BLANCA Y 1 BOTE EMMANUEL CON AFILIACIÓN</t>
  </si>
  <si>
    <t>DEBE 1 BOTE POR AFILIACIÓN, $650 CASA LUMA.</t>
  </si>
  <si>
    <t>Lote</t>
  </si>
  <si>
    <t>David P.</t>
  </si>
  <si>
    <t>David H.</t>
  </si>
  <si>
    <t>Jon</t>
  </si>
  <si>
    <t>LinLIFE</t>
  </si>
  <si>
    <t xml:space="preserve">Producto </t>
  </si>
  <si>
    <t>Notas sobre producto</t>
  </si>
  <si>
    <t>Por cobrar</t>
  </si>
  <si>
    <t>Muestras, regalos, no contable</t>
  </si>
  <si>
    <t>Pagado</t>
  </si>
  <si>
    <t>Botes</t>
  </si>
  <si>
    <t>Up Line (sponsor)</t>
  </si>
  <si>
    <t>Número Distribuidor</t>
  </si>
  <si>
    <t>Fecha</t>
  </si>
  <si>
    <t>Datos del distribuidor</t>
  </si>
  <si>
    <t>Nombre</t>
  </si>
  <si>
    <t>Dirección</t>
  </si>
  <si>
    <t>Teléfono</t>
  </si>
  <si>
    <t>Nota de venta</t>
  </si>
  <si>
    <t>Código</t>
  </si>
  <si>
    <t>Producto</t>
  </si>
  <si>
    <t>Cantidad</t>
  </si>
  <si>
    <t>valor</t>
  </si>
  <si>
    <t>Cantidad de artículos</t>
  </si>
  <si>
    <t>Sub.total</t>
  </si>
  <si>
    <t>I.V.A</t>
  </si>
  <si>
    <t>Patrocinador</t>
  </si>
  <si>
    <t>uno</t>
  </si>
  <si>
    <t>dos</t>
  </si>
  <si>
    <t>tres</t>
  </si>
  <si>
    <t>cuatro</t>
  </si>
  <si>
    <t>cinco</t>
  </si>
  <si>
    <t>seis</t>
  </si>
  <si>
    <t>siete</t>
  </si>
  <si>
    <t>ocho</t>
  </si>
  <si>
    <t>nueve</t>
  </si>
  <si>
    <t>diez</t>
  </si>
  <si>
    <t>once</t>
  </si>
  <si>
    <t>doce</t>
  </si>
  <si>
    <t>trece</t>
  </si>
  <si>
    <t>catorce</t>
  </si>
  <si>
    <t>quince</t>
  </si>
  <si>
    <t>Recompra 1 Activador Celular</t>
  </si>
  <si>
    <t>Afiliación de negocio</t>
  </si>
  <si>
    <t>Bono Rápido 4 productos</t>
  </si>
  <si>
    <t>Bono XPRESS 8 productos</t>
  </si>
  <si>
    <t>Bono MAYORISTA 12 productos</t>
  </si>
  <si>
    <t>Tipo de PRODUCTOS</t>
  </si>
  <si>
    <t>Código de producto</t>
  </si>
  <si>
    <t>AN</t>
  </si>
  <si>
    <t>BR</t>
  </si>
  <si>
    <t>BX</t>
  </si>
  <si>
    <t>BM</t>
  </si>
  <si>
    <t>RC</t>
  </si>
  <si>
    <t>Valor</t>
  </si>
  <si>
    <t>DC</t>
  </si>
  <si>
    <t>Descuento confidensial</t>
  </si>
  <si>
    <t>o</t>
  </si>
  <si>
    <t>Whats App: 55-10-64-70-80</t>
  </si>
  <si>
    <t>Calle 3 #193, Colonia La Esperanza, Cd. Nezahualcoyótl, Estado de México.</t>
  </si>
  <si>
    <t>Folio</t>
  </si>
  <si>
    <t>rc</t>
  </si>
  <si>
    <t>bx</t>
  </si>
  <si>
    <t>*Este documento no tiene validez fiscal*</t>
  </si>
  <si>
    <t xml:space="preserve">Facturación: Por whatss App </t>
  </si>
  <si>
    <t>CANDELARIA X X</t>
  </si>
  <si>
    <t>METEORO</t>
  </si>
  <si>
    <t xml:space="preserve">IZTAPALAPA </t>
  </si>
  <si>
    <t>ID PROPORCIONADO EN CONTRATO</t>
  </si>
  <si>
    <t>Correo electrónico</t>
  </si>
  <si>
    <t>dieciseis</t>
  </si>
  <si>
    <t>diesiciete</t>
  </si>
  <si>
    <t>Contrato</t>
  </si>
  <si>
    <t>ID</t>
  </si>
  <si>
    <t>RICARDO ANTONIO MEDINA GONZALEZ</t>
  </si>
  <si>
    <t>AND EJE PETONAL #77</t>
  </si>
  <si>
    <t>COL INFONAVIT NVO HORIZONTE</t>
  </si>
  <si>
    <t>MICHOACAN, LAZARO CARDENAS</t>
  </si>
  <si>
    <t>MASULINO</t>
  </si>
  <si>
    <t>MX</t>
  </si>
  <si>
    <t>Gel Minoxidil</t>
  </si>
  <si>
    <t>mx</t>
  </si>
  <si>
    <t>CR</t>
  </si>
  <si>
    <t>Crema regenerante</t>
  </si>
  <si>
    <t>cr</t>
  </si>
  <si>
    <t>MT</t>
  </si>
  <si>
    <t>mt</t>
  </si>
  <si>
    <t>defaul</t>
  </si>
  <si>
    <t>Envio y manejo (pay pal)</t>
  </si>
  <si>
    <t>Silvano Cavazos Salazar</t>
  </si>
  <si>
    <t>Carolina #436</t>
  </si>
  <si>
    <t>Los pinceles, Apocada, NL</t>
  </si>
  <si>
    <t>Nuevo León</t>
  </si>
  <si>
    <t>wp 81-23-71-31-11</t>
  </si>
  <si>
    <t>Pendiente</t>
  </si>
  <si>
    <t>Héctor Salamanca Salamanca</t>
  </si>
  <si>
    <t xml:space="preserve"> </t>
  </si>
  <si>
    <t>Anselmo García Villa</t>
  </si>
  <si>
    <t>Calle N37#478</t>
  </si>
  <si>
    <t xml:space="preserve"> Colonia Metroplex Apocada NL</t>
  </si>
  <si>
    <t>NL</t>
  </si>
  <si>
    <t>ansliderasgo@hotmail.com</t>
  </si>
  <si>
    <t>Mas</t>
  </si>
  <si>
    <t>Calle N37#478 Colonia Metroplex</t>
  </si>
  <si>
    <t>Apodaca Nuevo León</t>
  </si>
  <si>
    <t>garanc29@gmail.com</t>
  </si>
  <si>
    <t>Deyanira Cavazos</t>
  </si>
  <si>
    <t>Deya.cavazos@gmail.com</t>
  </si>
  <si>
    <t>Guadalupe</t>
  </si>
  <si>
    <t>MUJER</t>
  </si>
  <si>
    <t>col centro</t>
  </si>
  <si>
    <t xml:space="preserve">Hidalgo 525 pte </t>
  </si>
  <si>
    <t>Celia Salazar Soto</t>
  </si>
  <si>
    <t>Martha332</t>
  </si>
  <si>
    <t>Colonia los candiles, Apodaca</t>
  </si>
  <si>
    <t>81)88809050</t>
  </si>
  <si>
    <t>salazarcelia74@gmail.com</t>
  </si>
  <si>
    <t>f</t>
  </si>
  <si>
    <t>ENRIQUE RODRIGUEZ</t>
  </si>
  <si>
    <t>chicuahua 406</t>
  </si>
  <si>
    <t>col. Provivienda, GUADALUPE</t>
  </si>
  <si>
    <t>NUEVO LEÓN</t>
  </si>
  <si>
    <t>romaabelen@gmail.com</t>
  </si>
  <si>
    <t>pruebaafiliado22@gmail.com</t>
  </si>
  <si>
    <t>Magdalenocantu@hotmail.es</t>
  </si>
  <si>
    <t>Magdaleno CANTU CANTU</t>
  </si>
  <si>
    <t>Hacienda los naranjos #100</t>
  </si>
  <si>
    <t>Colonia rancho viejo,Ciudad Guadalupe nuevo leon</t>
  </si>
  <si>
    <t>Ciudad Guadalupe nuevo leon</t>
  </si>
  <si>
    <t>m</t>
  </si>
  <si>
    <t>María amparo Basurto badillo</t>
  </si>
  <si>
    <t>rafatoys1@yahoo.com.mx</t>
  </si>
  <si>
    <t>Bugambilias #204</t>
  </si>
  <si>
    <t>Col industrial del vidrio 1er sector ampliación oriente</t>
  </si>
  <si>
    <t>Mujer</t>
  </si>
  <si>
    <t>Martha Martin</t>
  </si>
  <si>
    <t>mbmm9.mm@gmail.com</t>
  </si>
  <si>
    <t>Aguascalientes, Ags.</t>
  </si>
  <si>
    <t xml:space="preserve">Av. San Antonio 103 Casa 51 </t>
  </si>
  <si>
    <t>Coto Sierra Ambar Rancho Santa Monica</t>
  </si>
  <si>
    <t>mujer</t>
  </si>
  <si>
    <t>María del Rocío Medina Gonsalez</t>
  </si>
  <si>
    <t>Chulismuliso0202@gmail.com</t>
  </si>
  <si>
    <t>Fraccionamiento los candiles</t>
  </si>
  <si>
    <t>Monterrey NL</t>
  </si>
  <si>
    <t>Bertha Vázquez</t>
  </si>
  <si>
    <t>berthavazquezt@gmail.com</t>
  </si>
  <si>
    <t>Chihuahua #406</t>
  </si>
  <si>
    <t>Col. Provivienda</t>
  </si>
  <si>
    <t>Guadalupe Nuevo León</t>
  </si>
  <si>
    <t>Jorge Garza González</t>
  </si>
  <si>
    <t>Jorgegarza889@gmail.com</t>
  </si>
  <si>
    <t>Andador Raúl caballero #636 edificio</t>
  </si>
  <si>
    <t>Col. Arboledas del oriente</t>
  </si>
  <si>
    <t>H</t>
  </si>
  <si>
    <t>María de los angeles Martínez Villareal</t>
  </si>
  <si>
    <t>Angy.mtz2209@gmail.com</t>
  </si>
  <si>
    <t>Calle Ana Laura #329</t>
  </si>
  <si>
    <t>Entre Idalia e Ignacio Villareal fraccionamiento los candiles</t>
  </si>
  <si>
    <t>Teofila Rodriguez Medrano</t>
  </si>
  <si>
    <t>t.medranordz@gmail.com</t>
  </si>
  <si>
    <t>c.portal de santander 419</t>
  </si>
  <si>
    <t>carretera a dulces nombres y camino de portales</t>
  </si>
  <si>
    <t>Apodaca ,Nuevo Leon</t>
  </si>
  <si>
    <t>Eugenio Julio Benavides</t>
  </si>
  <si>
    <t>8181451033 y 8122100290</t>
  </si>
  <si>
    <t>juliobenavides@live.com.mx</t>
  </si>
  <si>
    <t>Río Coatzacoalcos #837 col pueblo nuevo 5 sector</t>
  </si>
  <si>
    <t>Entre ríos oro y río aconagua</t>
  </si>
  <si>
    <t>Apodaca Nuevo Leon</t>
  </si>
  <si>
    <t>Hom</t>
  </si>
  <si>
    <t>imelda.ggarza@gmail.com</t>
  </si>
  <si>
    <t>Dalia #361 fraccionamiento los candiles Apodaca NL</t>
  </si>
  <si>
    <t>Entre blanca y Ana Laura</t>
  </si>
  <si>
    <t>Apodaca NL</t>
  </si>
  <si>
    <t>Francisca Anguiano Arredondo</t>
  </si>
  <si>
    <t>Inoxmart@hotmail.com</t>
  </si>
  <si>
    <t>Alpiste #120</t>
  </si>
  <si>
    <t>Entre habichuela y Mixcoac ,Col.mixcoac</t>
  </si>
  <si>
    <t>Guadalupe N.L</t>
  </si>
  <si>
    <t>Marina Concepcion Salazar Soto</t>
  </si>
  <si>
    <t>mcsandovalsalazar@hotmail.com</t>
  </si>
  <si>
    <t>cama de piedra 641A entre ahora o nunca y cuco sanchez</t>
  </si>
  <si>
    <t>fraccionamientocantoral 2 sector</t>
  </si>
  <si>
    <t>Pesqueria Nuevo Leon</t>
  </si>
  <si>
    <t>Imelda Garza Garza</t>
  </si>
  <si>
    <t>Idalia Garza Garza</t>
  </si>
  <si>
    <t>Idalia_garzag@hotmail.com</t>
  </si>
  <si>
    <t>Gardenia #562</t>
  </si>
  <si>
    <t>col.hacienda las margaritas</t>
  </si>
  <si>
    <t>rcorteztere12@gmail.com</t>
  </si>
  <si>
    <t>rey Fernando de aragon # 739 entre Cristobal Colon y puerto de palos</t>
  </si>
  <si>
    <t>colonia quinto centenario general Escobedo</t>
  </si>
  <si>
    <t>Nuevo Leon</t>
  </si>
  <si>
    <t>cgrp1992@icloud.com</t>
  </si>
  <si>
    <t>Cindy Guadalupe Rivera Polino</t>
  </si>
  <si>
    <t>Pueblo Nuevo V, Apodaca</t>
  </si>
  <si>
    <t xml:space="preserve">Río Coatzacoalcos 837 </t>
  </si>
  <si>
    <t>Martina Pineda</t>
  </si>
  <si>
    <t>mpineda1012@hotmail.com</t>
  </si>
  <si>
    <t>Carolina #408 fraccionamiento los pinceles</t>
  </si>
  <si>
    <t>a una cuadra de smart hda margaritas</t>
  </si>
  <si>
    <t>Apodaca N.L</t>
  </si>
  <si>
    <t>Ezequiel Francisco Maldonado Martinez</t>
  </si>
  <si>
    <t>8184665770 (marina salazar upline)</t>
  </si>
  <si>
    <t>maldonadofrancisco279@gmail.com</t>
  </si>
  <si>
    <t>calle martha #332 fraccionamiento los candiles</t>
  </si>
  <si>
    <t>entre calle dalia e Ignacio Villareal</t>
  </si>
  <si>
    <t>Apodaca, NL</t>
  </si>
  <si>
    <t>hombre</t>
  </si>
  <si>
    <t>Maria del Carmen Segura Aguilar</t>
  </si>
  <si>
    <t>mcsa0622@gmail.com</t>
  </si>
  <si>
    <t>Mitla # 8020 col.Lomas Modelo</t>
  </si>
  <si>
    <t>entre Tlatelolco y Tlacopan , cruz con Tizoc</t>
  </si>
  <si>
    <t>Monterrey Nuevo Leon</t>
  </si>
  <si>
    <t>Rosaura Ubundiz Rodriguez</t>
  </si>
  <si>
    <t>rous_25er@hotmail.com</t>
  </si>
  <si>
    <t xml:space="preserve"> Col. Hacienda Santa Clara</t>
  </si>
  <si>
    <t xml:space="preserve">Hualahuises #6639 </t>
  </si>
  <si>
    <t>Maria Guadalupe Lozano Vazquez</t>
  </si>
  <si>
    <t>lizbethn2809@gmail.com</t>
  </si>
  <si>
    <t>Geranio# 447 entre lirios y ortencia</t>
  </si>
  <si>
    <t>col. hacienda las margaritas</t>
  </si>
  <si>
    <t>Cruz Monsivais Alcala</t>
  </si>
  <si>
    <t>aureliolopez369@yahoo.com</t>
  </si>
  <si>
    <t>calle Pedro de Jesus Gonzales orendain # 1015</t>
  </si>
  <si>
    <t>infonavit misiones de San Gerardo</t>
  </si>
  <si>
    <t>Linares, NL</t>
  </si>
  <si>
    <t>Minerva Monsivais Alcala</t>
  </si>
  <si>
    <t>ejemplo@gmail.com</t>
  </si>
  <si>
    <t>Pedro de Jesus Gonzales orendain # 1015</t>
  </si>
  <si>
    <t>Envio</t>
  </si>
  <si>
    <t>Juana Leticia Acosta Llanas</t>
  </si>
  <si>
    <t>letionti@live.com.mx</t>
  </si>
  <si>
    <t>Aleli #652 HDA.las margaritas entre girasol y tulipan</t>
  </si>
  <si>
    <t>Martin Valentin Lazaro</t>
  </si>
  <si>
    <t>martin_valentin@hotmail.com</t>
  </si>
  <si>
    <t>M.M del llano# 1507 ote. entre julian villareal y heroes del 47</t>
  </si>
  <si>
    <t xml:space="preserve"> col.centro, Apodaca</t>
  </si>
  <si>
    <t>Silveria Cortez Perez</t>
  </si>
  <si>
    <t>Disel #118 col.residencial los Robles</t>
  </si>
  <si>
    <t>entre Av.del triunfo poniente y Benjamin Franklin</t>
  </si>
  <si>
    <t>No se proporcionó</t>
  </si>
  <si>
    <t>hector_rayado@hotmail.com</t>
  </si>
  <si>
    <t>Anibal Enriquez Cruz</t>
  </si>
  <si>
    <t>8125673724 y wts 8121509075</t>
  </si>
  <si>
    <t>jesus.enri.je@gmail.com</t>
  </si>
  <si>
    <t>Martha #330 Frac Los candiles Entre Dalia e Ignacio Villarreal</t>
  </si>
  <si>
    <t>luchitasolis55@gmail.com</t>
  </si>
  <si>
    <t>Dalia #327 Entre Martha Y Consuelo</t>
  </si>
  <si>
    <t>Fracc Los candiles, Apodaca</t>
  </si>
  <si>
    <t>Alfonso Flores Flores</t>
  </si>
  <si>
    <t>818-686-2909</t>
  </si>
  <si>
    <t>panuco1948@gmail.com</t>
  </si>
  <si>
    <t>Prage #507 Entre Francia 86 y Molinos de Rey</t>
  </si>
  <si>
    <t>Guadalupe NL</t>
  </si>
  <si>
    <t>en</t>
  </si>
  <si>
    <t>bm</t>
  </si>
  <si>
    <t>promo</t>
  </si>
  <si>
    <t>Promoción ActiCell</t>
  </si>
  <si>
    <t>2c</t>
  </si>
  <si>
    <t>3c</t>
  </si>
  <si>
    <t>4c</t>
  </si>
  <si>
    <t>5c</t>
  </si>
  <si>
    <t>Promoción 2cremas</t>
  </si>
  <si>
    <t>Promoción 3cremas</t>
  </si>
  <si>
    <t>Promoción 4cremas</t>
  </si>
  <si>
    <t>Promoción 5cremas</t>
  </si>
  <si>
    <t>2m</t>
  </si>
  <si>
    <t>3m</t>
  </si>
  <si>
    <t>4m</t>
  </si>
  <si>
    <t>5m</t>
  </si>
  <si>
    <t>Promoción 2Minoxidil</t>
  </si>
  <si>
    <t>Promoción 3Minoxidil</t>
  </si>
  <si>
    <t>Promoción 4Minoxidil</t>
  </si>
  <si>
    <t>Promoción 5Minoxidil</t>
  </si>
  <si>
    <t>250p</t>
  </si>
  <si>
    <t>Exclusivo Material de Apoyo</t>
  </si>
  <si>
    <t>GRACIAS POR SU COMPRA</t>
  </si>
  <si>
    <t>|</t>
  </si>
  <si>
    <t xml:space="preserve"> Sandra Yasmin Castañuela Lara</t>
  </si>
  <si>
    <t>atristan3003@gmail.com</t>
  </si>
  <si>
    <t>Martha # 329 entre dalia e ignacio villareal</t>
  </si>
  <si>
    <t xml:space="preserve"> col.los candiles</t>
  </si>
  <si>
    <t>22\04\2019</t>
  </si>
  <si>
    <t xml:space="preserve"> Martha Patricia Segura Aguilar</t>
  </si>
  <si>
    <t>m.p.s.aguilar@gmail.com</t>
  </si>
  <si>
    <t>col.la quinta guadalupe</t>
  </si>
  <si>
    <t>calle 18 #2139 entre av. la quinta topa con walmart es privada</t>
  </si>
  <si>
    <t>Stock Celia</t>
  </si>
  <si>
    <t>Martha Leticia Rodriguez</t>
  </si>
  <si>
    <t>amiga.lety0@gmail.com</t>
  </si>
  <si>
    <t xml:space="preserve"> col.rinconada colonial</t>
  </si>
  <si>
    <t>calle galicia # 302 entre paseo santa rosa y rinconada colonial</t>
  </si>
  <si>
    <t>Monterrey N.L</t>
  </si>
  <si>
    <t>Mireya Hinojosa Martinez</t>
  </si>
  <si>
    <t>mirly_hm@hotmail.com</t>
  </si>
  <si>
    <t>calle villa segovia # 217  entre villa trueel y villa soria</t>
  </si>
  <si>
    <t xml:space="preserve"> col.villa de san carlos</t>
  </si>
  <si>
    <t>Patricia Malacara Soto</t>
  </si>
  <si>
    <t>pattysotoluna@gmail.com</t>
  </si>
  <si>
    <t>italia #125 entre rumania y suecia en jardines de apodaca</t>
  </si>
  <si>
    <t>Guadalupe Olvera Rivera</t>
  </si>
  <si>
    <t>lupy80@hotmail.com</t>
  </si>
  <si>
    <t>orquidia #209</t>
  </si>
  <si>
    <t>Res.pedregal de San Agustin</t>
  </si>
  <si>
    <t>Escobedo N.L</t>
  </si>
  <si>
    <t>Teresa Rivera Cortez</t>
  </si>
  <si>
    <t>1er nivel</t>
  </si>
  <si>
    <t>2do nivel</t>
  </si>
  <si>
    <t>3er nivel</t>
  </si>
  <si>
    <t>Stock</t>
  </si>
  <si>
    <t>stock</t>
  </si>
  <si>
    <t>Reposición de producto</t>
  </si>
  <si>
    <t>Pago con Bonificaciones</t>
  </si>
  <si>
    <t>x</t>
  </si>
  <si>
    <t xml:space="preserve"> Maria Elena Cantu Gonzalez</t>
  </si>
  <si>
    <t>calle dalia #526 hacienda las margaritas</t>
  </si>
  <si>
    <t>entre lirios y girasol</t>
  </si>
  <si>
    <t>apodaca N.L</t>
  </si>
  <si>
    <t>elenacantu@gmail.com</t>
  </si>
  <si>
    <t>Teresa Abigail Olvera Rivera</t>
  </si>
  <si>
    <t>Abhygr@gmail.com</t>
  </si>
  <si>
    <t>Rey Fernando de Aragón 739 entre Cristóbal Colón y puerto de palos</t>
  </si>
  <si>
    <t>Deyanira Guadalupe Alvares Fuentes</t>
  </si>
  <si>
    <t>fuentes.deyanira80@gmail.com</t>
  </si>
  <si>
    <t>calle roble# 231 cruz con calle fresnos</t>
  </si>
  <si>
    <t>Maria del Socorro Mendoza Venzor</t>
  </si>
  <si>
    <t>mavens@hotmail.com</t>
  </si>
  <si>
    <t>gardenia # 407 entre lirios y veronica candiles</t>
  </si>
  <si>
    <t>Lorenza de la Rosa Moreno</t>
  </si>
  <si>
    <t>jazmin # 334 los vitrales</t>
  </si>
  <si>
    <t>unl.lorenzadelarosa@gmail.com</t>
  </si>
  <si>
    <t>Georgina Monserrath Facil Cerroque</t>
  </si>
  <si>
    <t>mildrethgm2710@gmail.com</t>
  </si>
  <si>
    <t>cama de piedra #647 cruz con dejame llorar</t>
  </si>
  <si>
    <t>col.cantoral, pesqueria</t>
  </si>
  <si>
    <t>Francisco Velasquez Gonzalez</t>
  </si>
  <si>
    <t>fvelasquez805@gmail.com</t>
  </si>
  <si>
    <t>Los Olivos, Atizapán de Zaragoza</t>
  </si>
  <si>
    <t>México</t>
  </si>
  <si>
    <t>quintana roo 9_ 1 entre chiapas y orizaba</t>
  </si>
  <si>
    <t>Leonor Gamez Rios</t>
  </si>
  <si>
    <t>mariposa20031@outlook.com</t>
  </si>
  <si>
    <t>barrio santa cruz av.hidalgo # 710, entre tranvia y panteon</t>
  </si>
  <si>
    <t>Agua buena tamasopo San Luis Potosi</t>
  </si>
  <si>
    <t>SLP</t>
  </si>
  <si>
    <t>Norma Idalia Ramirez Sandoval</t>
  </si>
  <si>
    <t>col. villas de san carlos</t>
  </si>
  <si>
    <t>villa coruña #416</t>
  </si>
  <si>
    <t>kaarz13@gmail.com</t>
  </si>
  <si>
    <t>femenino</t>
  </si>
  <si>
    <t>Maria Teresa Quezada Cavazos</t>
  </si>
  <si>
    <t>dalia # 524</t>
  </si>
  <si>
    <t xml:space="preserve"> col. hacienda las margaritas</t>
  </si>
  <si>
    <t>tere.quezada75@gmail.com</t>
  </si>
  <si>
    <t>floresmariaangelica8@gmail.com</t>
  </si>
  <si>
    <t>c. chihuahua # 408 col provivienda guadalupe</t>
  </si>
  <si>
    <t xml:space="preserve">c. chihuahua </t>
  </si>
  <si>
    <t>mexico</t>
  </si>
  <si>
    <t>María Angélica Hernandez Flores</t>
  </si>
  <si>
    <t>Reyna María Constantino del Ángel</t>
  </si>
  <si>
    <t>Castaños #728</t>
  </si>
  <si>
    <t xml:space="preserve">Col. Los Ebanos Norte 2° SEC. </t>
  </si>
  <si>
    <t>NO PROPORCIONADO</t>
  </si>
  <si>
    <t>emendozaconstantino@gmail.com</t>
  </si>
  <si>
    <t xml:space="preserve"> AIDA PATRICIA NUÑEZ SOLIS</t>
  </si>
  <si>
    <t>aidaabril09@outlook.com</t>
  </si>
  <si>
    <t>N.L.</t>
  </si>
  <si>
    <t xml:space="preserve">HALCON 2917 COL LOS FAISANES frente al parqe </t>
  </si>
  <si>
    <t>GUADALUPE , entre pavorreal y cisne</t>
  </si>
  <si>
    <t>Lourdes Marlene Rodriguez soto</t>
  </si>
  <si>
    <t>lourdes76rdz@gmail.com</t>
  </si>
  <si>
    <t>Hacienda las margaritas, Apodaca</t>
  </si>
  <si>
    <t>N.L</t>
  </si>
  <si>
    <t>Dic Aleli #406 entre lirios y hortensia</t>
  </si>
  <si>
    <t>entre lirios y hortensia</t>
  </si>
  <si>
    <t>Maria de la  Luz Solis Sandoval</t>
  </si>
  <si>
    <t>ID 2do patrocinador</t>
  </si>
  <si>
    <t>ID 3er patrocinador</t>
  </si>
  <si>
    <t>Juana Margarita Solis Carreon</t>
  </si>
  <si>
    <t>maggy_silos64@hotmail.com</t>
  </si>
  <si>
    <t>Col Miramar, Parras de la Fuente</t>
  </si>
  <si>
    <t>Coahuila</t>
  </si>
  <si>
    <t>Calle Mar Rojo # 406 Entre calle Daniel H Madero y Lindero Oriente</t>
  </si>
  <si>
    <t xml:space="preserve">activos </t>
  </si>
  <si>
    <t>Comisiones</t>
  </si>
  <si>
    <t>crema</t>
  </si>
  <si>
    <t>acticell 36</t>
  </si>
  <si>
    <t>crema 36</t>
  </si>
  <si>
    <t>acti cell 25</t>
  </si>
  <si>
    <t>Jabón baba de caracol</t>
  </si>
  <si>
    <t>Jabón de avena</t>
  </si>
  <si>
    <t>Jabón de café</t>
  </si>
  <si>
    <t>Jabón de colágeno</t>
  </si>
  <si>
    <t>Jabón de carbón activado</t>
  </si>
  <si>
    <t>ge</t>
  </si>
  <si>
    <t>Gel exfoliante relajante</t>
  </si>
  <si>
    <t>1p</t>
  </si>
  <si>
    <t>2p</t>
  </si>
  <si>
    <t>3p</t>
  </si>
  <si>
    <t>4p</t>
  </si>
  <si>
    <t>5p</t>
  </si>
  <si>
    <t>gep</t>
  </si>
  <si>
    <t>Delia Rodríguez González</t>
  </si>
  <si>
    <t>La Cardona #117</t>
  </si>
  <si>
    <t>col.evolucion, Guadalupe</t>
  </si>
  <si>
    <t>almar3259@gmail.com</t>
  </si>
  <si>
    <t>stock de CELIA</t>
  </si>
  <si>
    <t>Claudia Elena Hernández Navarro</t>
  </si>
  <si>
    <t>Privada 24 #15 entre profesora Rebeca González y Cantú rosas</t>
  </si>
  <si>
    <t>Col. Nueva Era, Nuevo Laredo</t>
  </si>
  <si>
    <t>Tamaulipas</t>
  </si>
  <si>
    <t>elenanavarro768@gmail .com</t>
  </si>
  <si>
    <t>hnocavazos80@hotmail.com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</si>
</sst>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_-[$$-80A]* #,##0.00_-;\-[$$-80A]* #,##0.00_-;_-[$$-80A]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rgb="FF555555"/>
      <name val="Segoe UI"/>
      <family val="2"/>
    </font>
    <font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33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2"/>
      </right>
      <top style="thin">
        <color theme="2"/>
      </top>
      <bottom/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88">
    <xf numFmtId="0" fontId="0" fillId="0" borderId="0" xfId="0"/>
    <xf numFmtId="0" fontId="0" fillId="0" borderId="0" xfId="0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5" xfId="0" applyFill="1" applyBorder="1" applyAlignment="1">
      <alignment vertical="center"/>
    </xf>
    <xf numFmtId="0" fontId="0" fillId="8" borderId="0" xfId="0" applyFill="1" applyAlignment="1">
      <alignment horizontal="center" vertical="center"/>
    </xf>
    <xf numFmtId="165" fontId="0" fillId="0" borderId="5" xfId="1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4" fontId="1" fillId="10" borderId="1" xfId="0" applyNumberFormat="1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5" xfId="0" applyFill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8" borderId="0" xfId="0" applyFont="1" applyFill="1" applyBorder="1" applyAlignment="1">
      <alignment horizontal="center" vertical="center"/>
    </xf>
    <xf numFmtId="0" fontId="9" fillId="10" borderId="1" xfId="2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1" fillId="10" borderId="1" xfId="0" applyNumberFormat="1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165" fontId="7" fillId="0" borderId="5" xfId="1" applyNumberFormat="1" applyFont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9" fillId="10" borderId="4" xfId="2" applyFill="1" applyBorder="1" applyAlignment="1">
      <alignment horizontal="center" vertical="center"/>
    </xf>
    <xf numFmtId="0" fontId="1" fillId="10" borderId="4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0" borderId="0" xfId="0" applyFont="1" applyBorder="1"/>
    <xf numFmtId="0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3" fillId="10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0" fillId="12" borderId="5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0" xfId="0" applyFill="1"/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14" fontId="0" fillId="9" borderId="5" xfId="0" applyNumberForma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1" fillId="0" borderId="12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3" borderId="4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Alignment="1">
      <alignment horizontal="center" vertical="center"/>
    </xf>
    <xf numFmtId="0" fontId="1" fillId="14" borderId="5" xfId="0" applyFont="1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4" xfId="0" applyFont="1" applyFill="1" applyBorder="1" applyAlignment="1">
      <alignment horizontal="center" vertical="center"/>
    </xf>
    <xf numFmtId="0" fontId="9" fillId="14" borderId="1" xfId="2" applyFill="1" applyBorder="1" applyAlignment="1">
      <alignment horizontal="center" vertical="center"/>
    </xf>
    <xf numFmtId="14" fontId="1" fillId="14" borderId="1" xfId="0" applyNumberFormat="1" applyFont="1" applyFill="1" applyBorder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9" fillId="14" borderId="4" xfId="2" applyFill="1" applyBorder="1" applyAlignment="1">
      <alignment horizontal="center" vertical="center"/>
    </xf>
    <xf numFmtId="0" fontId="1" fillId="14" borderId="4" xfId="2" applyFont="1" applyFill="1" applyBorder="1" applyAlignment="1">
      <alignment horizontal="center" vertical="center"/>
    </xf>
    <xf numFmtId="0" fontId="13" fillId="14" borderId="1" xfId="2" applyNumberFormat="1" applyFont="1" applyFill="1" applyBorder="1" applyAlignment="1">
      <alignment horizontal="center" vertical="center"/>
    </xf>
  </cellXfs>
  <cellStyles count="3">
    <cellStyle name="Hipervínculo" xfId="2" builtinId="8"/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FFFF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7</xdr:col>
      <xdr:colOff>733425</xdr:colOff>
      <xdr:row>5</xdr:row>
      <xdr:rowOff>200025</xdr:rowOff>
    </xdr:to>
    <xdr:sp macro="[0]!RSocios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0" y="809625"/>
          <a:ext cx="1495425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REGISTRAR SOCIO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38101</xdr:rowOff>
    </xdr:from>
    <xdr:to>
      <xdr:col>1</xdr:col>
      <xdr:colOff>790575</xdr:colOff>
      <xdr:row>4</xdr:row>
      <xdr:rowOff>179389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4</xdr:row>
      <xdr:rowOff>0</xdr:rowOff>
    </xdr:from>
    <xdr:to>
      <xdr:col>9</xdr:col>
      <xdr:colOff>752475</xdr:colOff>
      <xdr:row>5</xdr:row>
      <xdr:rowOff>142875</xdr:rowOff>
    </xdr:to>
    <xdr:sp macro="[0]!Macroguarfadrfolioeimprimirfinal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753225" y="762000"/>
          <a:ext cx="1485900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/>
            <a:t>IMPRIMIR</a:t>
          </a:r>
          <a:endParaRPr lang="es-ES" sz="1100"/>
        </a:p>
      </xdr:txBody>
    </xdr:sp>
    <xdr:clientData/>
  </xdr:twoCellAnchor>
  <xdr:twoCellAnchor>
    <xdr:from>
      <xdr:col>8</xdr:col>
      <xdr:colOff>19050</xdr:colOff>
      <xdr:row>1</xdr:row>
      <xdr:rowOff>19050</xdr:rowOff>
    </xdr:from>
    <xdr:to>
      <xdr:col>9</xdr:col>
      <xdr:colOff>742950</xdr:colOff>
      <xdr:row>2</xdr:row>
      <xdr:rowOff>161925</xdr:rowOff>
    </xdr:to>
    <xdr:sp macro="[0]!nota_nueva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743700" y="209550"/>
          <a:ext cx="1485900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/>
            <a:t>NUEVA NOTA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1837</xdr:row>
      <xdr:rowOff>38101</xdr:rowOff>
    </xdr:from>
    <xdr:to>
      <xdr:col>2</xdr:col>
      <xdr:colOff>0</xdr:colOff>
      <xdr:row>1840</xdr:row>
      <xdr:rowOff>179389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1810</xdr:row>
      <xdr:rowOff>38101</xdr:rowOff>
    </xdr:from>
    <xdr:to>
      <xdr:col>2</xdr:col>
      <xdr:colOff>0</xdr:colOff>
      <xdr:row>1813</xdr:row>
      <xdr:rowOff>179389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1783</xdr:row>
      <xdr:rowOff>38101</xdr:rowOff>
    </xdr:from>
    <xdr:to>
      <xdr:col>2</xdr:col>
      <xdr:colOff>0</xdr:colOff>
      <xdr:row>1786</xdr:row>
      <xdr:rowOff>179389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1756</xdr:row>
      <xdr:rowOff>38101</xdr:rowOff>
    </xdr:from>
    <xdr:to>
      <xdr:col>2</xdr:col>
      <xdr:colOff>0</xdr:colOff>
      <xdr:row>1759</xdr:row>
      <xdr:rowOff>179389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1729</xdr:row>
      <xdr:rowOff>38101</xdr:rowOff>
    </xdr:from>
    <xdr:to>
      <xdr:col>2</xdr:col>
      <xdr:colOff>0</xdr:colOff>
      <xdr:row>1732</xdr:row>
      <xdr:rowOff>179389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1702</xdr:row>
      <xdr:rowOff>38101</xdr:rowOff>
    </xdr:from>
    <xdr:to>
      <xdr:col>2</xdr:col>
      <xdr:colOff>0</xdr:colOff>
      <xdr:row>1705</xdr:row>
      <xdr:rowOff>179389</xdr:rowOff>
    </xdr:to>
    <xdr:pic>
      <xdr:nvPicPr>
        <xdr:cNvPr id="7" name="6 Imagen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1675</xdr:row>
      <xdr:rowOff>38101</xdr:rowOff>
    </xdr:from>
    <xdr:to>
      <xdr:col>2</xdr:col>
      <xdr:colOff>0</xdr:colOff>
      <xdr:row>1678</xdr:row>
      <xdr:rowOff>179389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1648</xdr:row>
      <xdr:rowOff>38101</xdr:rowOff>
    </xdr:from>
    <xdr:to>
      <xdr:col>2</xdr:col>
      <xdr:colOff>0</xdr:colOff>
      <xdr:row>1651</xdr:row>
      <xdr:rowOff>179389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22513</xdr:colOff>
      <xdr:row>1620</xdr:row>
      <xdr:rowOff>185306</xdr:rowOff>
    </xdr:from>
    <xdr:to>
      <xdr:col>1</xdr:col>
      <xdr:colOff>727363</xdr:colOff>
      <xdr:row>1624</xdr:row>
      <xdr:rowOff>136094</xdr:rowOff>
    </xdr:to>
    <xdr:pic>
      <xdr:nvPicPr>
        <xdr:cNvPr id="12" name="11 Imagen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513" y="77337806"/>
          <a:ext cx="704850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1594</xdr:row>
      <xdr:rowOff>38101</xdr:rowOff>
    </xdr:from>
    <xdr:to>
      <xdr:col>2</xdr:col>
      <xdr:colOff>0</xdr:colOff>
      <xdr:row>1597</xdr:row>
      <xdr:rowOff>179389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1567</xdr:row>
      <xdr:rowOff>38101</xdr:rowOff>
    </xdr:from>
    <xdr:to>
      <xdr:col>2</xdr:col>
      <xdr:colOff>0</xdr:colOff>
      <xdr:row>1570</xdr:row>
      <xdr:rowOff>179389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1540</xdr:row>
      <xdr:rowOff>38101</xdr:rowOff>
    </xdr:from>
    <xdr:to>
      <xdr:col>2</xdr:col>
      <xdr:colOff>0</xdr:colOff>
      <xdr:row>1543</xdr:row>
      <xdr:rowOff>179389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1513</xdr:row>
      <xdr:rowOff>38101</xdr:rowOff>
    </xdr:from>
    <xdr:to>
      <xdr:col>2</xdr:col>
      <xdr:colOff>0</xdr:colOff>
      <xdr:row>1516</xdr:row>
      <xdr:rowOff>179389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1486</xdr:row>
      <xdr:rowOff>38101</xdr:rowOff>
    </xdr:from>
    <xdr:to>
      <xdr:col>2</xdr:col>
      <xdr:colOff>0</xdr:colOff>
      <xdr:row>1489</xdr:row>
      <xdr:rowOff>179389</xdr:rowOff>
    </xdr:to>
    <xdr:pic>
      <xdr:nvPicPr>
        <xdr:cNvPr id="17" name="16 Imagen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1459</xdr:row>
      <xdr:rowOff>38101</xdr:rowOff>
    </xdr:from>
    <xdr:to>
      <xdr:col>2</xdr:col>
      <xdr:colOff>0</xdr:colOff>
      <xdr:row>1462</xdr:row>
      <xdr:rowOff>179389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1432</xdr:row>
      <xdr:rowOff>38101</xdr:rowOff>
    </xdr:from>
    <xdr:to>
      <xdr:col>2</xdr:col>
      <xdr:colOff>0</xdr:colOff>
      <xdr:row>1435</xdr:row>
      <xdr:rowOff>179389</xdr:rowOff>
    </xdr:to>
    <xdr:pic>
      <xdr:nvPicPr>
        <xdr:cNvPr id="19" name="18 Imagen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1405</xdr:row>
      <xdr:rowOff>38101</xdr:rowOff>
    </xdr:from>
    <xdr:to>
      <xdr:col>2</xdr:col>
      <xdr:colOff>0</xdr:colOff>
      <xdr:row>1408</xdr:row>
      <xdr:rowOff>179389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1378</xdr:row>
      <xdr:rowOff>38101</xdr:rowOff>
    </xdr:from>
    <xdr:to>
      <xdr:col>2</xdr:col>
      <xdr:colOff>0</xdr:colOff>
      <xdr:row>1381</xdr:row>
      <xdr:rowOff>179389</xdr:rowOff>
    </xdr:to>
    <xdr:pic>
      <xdr:nvPicPr>
        <xdr:cNvPr id="21" name="20 Imagen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1351</xdr:row>
      <xdr:rowOff>38101</xdr:rowOff>
    </xdr:from>
    <xdr:to>
      <xdr:col>2</xdr:col>
      <xdr:colOff>0</xdr:colOff>
      <xdr:row>1354</xdr:row>
      <xdr:rowOff>179389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1324</xdr:row>
      <xdr:rowOff>38101</xdr:rowOff>
    </xdr:from>
    <xdr:to>
      <xdr:col>2</xdr:col>
      <xdr:colOff>0</xdr:colOff>
      <xdr:row>1327</xdr:row>
      <xdr:rowOff>179389</xdr:rowOff>
    </xdr:to>
    <xdr:pic>
      <xdr:nvPicPr>
        <xdr:cNvPr id="23" name="22 Imagen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1297</xdr:row>
      <xdr:rowOff>38101</xdr:rowOff>
    </xdr:from>
    <xdr:to>
      <xdr:col>2</xdr:col>
      <xdr:colOff>0</xdr:colOff>
      <xdr:row>1300</xdr:row>
      <xdr:rowOff>179389</xdr:rowOff>
    </xdr:to>
    <xdr:pic>
      <xdr:nvPicPr>
        <xdr:cNvPr id="24" name="23 Imagen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1270</xdr:row>
      <xdr:rowOff>38101</xdr:rowOff>
    </xdr:from>
    <xdr:to>
      <xdr:col>2</xdr:col>
      <xdr:colOff>0</xdr:colOff>
      <xdr:row>1273</xdr:row>
      <xdr:rowOff>179389</xdr:rowOff>
    </xdr:to>
    <xdr:pic>
      <xdr:nvPicPr>
        <xdr:cNvPr id="25" name="24 Imagen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1243</xdr:row>
      <xdr:rowOff>38101</xdr:rowOff>
    </xdr:from>
    <xdr:to>
      <xdr:col>2</xdr:col>
      <xdr:colOff>0</xdr:colOff>
      <xdr:row>1246</xdr:row>
      <xdr:rowOff>179389</xdr:rowOff>
    </xdr:to>
    <xdr:pic>
      <xdr:nvPicPr>
        <xdr:cNvPr id="26" name="25 Imagen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1216</xdr:row>
      <xdr:rowOff>38101</xdr:rowOff>
    </xdr:from>
    <xdr:to>
      <xdr:col>2</xdr:col>
      <xdr:colOff>28575</xdr:colOff>
      <xdr:row>1219</xdr:row>
      <xdr:rowOff>179389</xdr:rowOff>
    </xdr:to>
    <xdr:pic>
      <xdr:nvPicPr>
        <xdr:cNvPr id="27" name="1 Imagen">
          <a:extLst>
            <a:ext uri="{FF2B5EF4-FFF2-40B4-BE49-F238E27FC236}">
              <a16:creationId xmlns:a16="http://schemas.microsoft.com/office/drawing/2014/main" id="{584E871D-751A-46C0-BFB3-65C6EB096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1189</xdr:row>
      <xdr:rowOff>38101</xdr:rowOff>
    </xdr:from>
    <xdr:to>
      <xdr:col>2</xdr:col>
      <xdr:colOff>28575</xdr:colOff>
      <xdr:row>1192</xdr:row>
      <xdr:rowOff>179389</xdr:rowOff>
    </xdr:to>
    <xdr:pic>
      <xdr:nvPicPr>
        <xdr:cNvPr id="28" name="1 Imagen">
          <a:extLst>
            <a:ext uri="{FF2B5EF4-FFF2-40B4-BE49-F238E27FC236}">
              <a16:creationId xmlns:a16="http://schemas.microsoft.com/office/drawing/2014/main" id="{F0425887-7A43-4120-9E8E-D1DC238D1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1162</xdr:row>
      <xdr:rowOff>38101</xdr:rowOff>
    </xdr:from>
    <xdr:to>
      <xdr:col>2</xdr:col>
      <xdr:colOff>28575</xdr:colOff>
      <xdr:row>1165</xdr:row>
      <xdr:rowOff>179389</xdr:rowOff>
    </xdr:to>
    <xdr:pic>
      <xdr:nvPicPr>
        <xdr:cNvPr id="29" name="1 Imagen">
          <a:extLst>
            <a:ext uri="{FF2B5EF4-FFF2-40B4-BE49-F238E27FC236}">
              <a16:creationId xmlns:a16="http://schemas.microsoft.com/office/drawing/2014/main" id="{70C3CCCC-A5EA-47E4-93FA-95C118CE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1135</xdr:row>
      <xdr:rowOff>38101</xdr:rowOff>
    </xdr:from>
    <xdr:to>
      <xdr:col>2</xdr:col>
      <xdr:colOff>28575</xdr:colOff>
      <xdr:row>1138</xdr:row>
      <xdr:rowOff>179389</xdr:rowOff>
    </xdr:to>
    <xdr:pic>
      <xdr:nvPicPr>
        <xdr:cNvPr id="30" name="1 Imagen">
          <a:extLst>
            <a:ext uri="{FF2B5EF4-FFF2-40B4-BE49-F238E27FC236}">
              <a16:creationId xmlns:a16="http://schemas.microsoft.com/office/drawing/2014/main" id="{14D6937A-10C5-47BF-BC08-2D207EA32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1108</xdr:row>
      <xdr:rowOff>38101</xdr:rowOff>
    </xdr:from>
    <xdr:to>
      <xdr:col>2</xdr:col>
      <xdr:colOff>28575</xdr:colOff>
      <xdr:row>1111</xdr:row>
      <xdr:rowOff>179389</xdr:rowOff>
    </xdr:to>
    <xdr:pic>
      <xdr:nvPicPr>
        <xdr:cNvPr id="31" name="1 Imagen">
          <a:extLst>
            <a:ext uri="{FF2B5EF4-FFF2-40B4-BE49-F238E27FC236}">
              <a16:creationId xmlns:a16="http://schemas.microsoft.com/office/drawing/2014/main" id="{7FE4F491-1492-4708-8C64-5C2D44074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1081</xdr:row>
      <xdr:rowOff>38101</xdr:rowOff>
    </xdr:from>
    <xdr:to>
      <xdr:col>2</xdr:col>
      <xdr:colOff>28575</xdr:colOff>
      <xdr:row>1084</xdr:row>
      <xdr:rowOff>179389</xdr:rowOff>
    </xdr:to>
    <xdr:pic>
      <xdr:nvPicPr>
        <xdr:cNvPr id="32" name="1 Imagen">
          <a:extLst>
            <a:ext uri="{FF2B5EF4-FFF2-40B4-BE49-F238E27FC236}">
              <a16:creationId xmlns:a16="http://schemas.microsoft.com/office/drawing/2014/main" id="{2F412E1C-6250-44AE-97B8-3A2138086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1054</xdr:row>
      <xdr:rowOff>38101</xdr:rowOff>
    </xdr:from>
    <xdr:to>
      <xdr:col>2</xdr:col>
      <xdr:colOff>28575</xdr:colOff>
      <xdr:row>1057</xdr:row>
      <xdr:rowOff>179389</xdr:rowOff>
    </xdr:to>
    <xdr:pic>
      <xdr:nvPicPr>
        <xdr:cNvPr id="33" name="1 Imagen">
          <a:extLst>
            <a:ext uri="{FF2B5EF4-FFF2-40B4-BE49-F238E27FC236}">
              <a16:creationId xmlns:a16="http://schemas.microsoft.com/office/drawing/2014/main" id="{D95F2DFD-1335-4049-9F0C-8EB83C79D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1027</xdr:row>
      <xdr:rowOff>38101</xdr:rowOff>
    </xdr:from>
    <xdr:to>
      <xdr:col>2</xdr:col>
      <xdr:colOff>28575</xdr:colOff>
      <xdr:row>1030</xdr:row>
      <xdr:rowOff>179389</xdr:rowOff>
    </xdr:to>
    <xdr:pic>
      <xdr:nvPicPr>
        <xdr:cNvPr id="34" name="1 Imagen">
          <a:extLst>
            <a:ext uri="{FF2B5EF4-FFF2-40B4-BE49-F238E27FC236}">
              <a16:creationId xmlns:a16="http://schemas.microsoft.com/office/drawing/2014/main" id="{3E9A2044-2450-4BE2-B981-1FFEA9455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1000</xdr:row>
      <xdr:rowOff>38101</xdr:rowOff>
    </xdr:from>
    <xdr:to>
      <xdr:col>2</xdr:col>
      <xdr:colOff>28575</xdr:colOff>
      <xdr:row>1003</xdr:row>
      <xdr:rowOff>179389</xdr:rowOff>
    </xdr:to>
    <xdr:pic>
      <xdr:nvPicPr>
        <xdr:cNvPr id="35" name="1 Imagen">
          <a:extLst>
            <a:ext uri="{FF2B5EF4-FFF2-40B4-BE49-F238E27FC236}">
              <a16:creationId xmlns:a16="http://schemas.microsoft.com/office/drawing/2014/main" id="{B4B9152E-F9D2-465B-A258-502FCF632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973</xdr:row>
      <xdr:rowOff>38101</xdr:rowOff>
    </xdr:from>
    <xdr:to>
      <xdr:col>2</xdr:col>
      <xdr:colOff>28575</xdr:colOff>
      <xdr:row>976</xdr:row>
      <xdr:rowOff>179389</xdr:rowOff>
    </xdr:to>
    <xdr:pic>
      <xdr:nvPicPr>
        <xdr:cNvPr id="36" name="1 Imagen">
          <a:extLst>
            <a:ext uri="{FF2B5EF4-FFF2-40B4-BE49-F238E27FC236}">
              <a16:creationId xmlns:a16="http://schemas.microsoft.com/office/drawing/2014/main" id="{BBBE4F30-F6D7-4414-9158-7EF735393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946</xdr:row>
      <xdr:rowOff>38101</xdr:rowOff>
    </xdr:from>
    <xdr:to>
      <xdr:col>2</xdr:col>
      <xdr:colOff>28575</xdr:colOff>
      <xdr:row>949</xdr:row>
      <xdr:rowOff>179389</xdr:rowOff>
    </xdr:to>
    <xdr:pic>
      <xdr:nvPicPr>
        <xdr:cNvPr id="37" name="1 Imagen">
          <a:extLst>
            <a:ext uri="{FF2B5EF4-FFF2-40B4-BE49-F238E27FC236}">
              <a16:creationId xmlns:a16="http://schemas.microsoft.com/office/drawing/2014/main" id="{E5EDD431-5B74-4111-8148-50F32E409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919</xdr:row>
      <xdr:rowOff>38101</xdr:rowOff>
    </xdr:from>
    <xdr:to>
      <xdr:col>2</xdr:col>
      <xdr:colOff>28575</xdr:colOff>
      <xdr:row>922</xdr:row>
      <xdr:rowOff>179389</xdr:rowOff>
    </xdr:to>
    <xdr:pic>
      <xdr:nvPicPr>
        <xdr:cNvPr id="38" name="1 Imagen">
          <a:extLst>
            <a:ext uri="{FF2B5EF4-FFF2-40B4-BE49-F238E27FC236}">
              <a16:creationId xmlns:a16="http://schemas.microsoft.com/office/drawing/2014/main" id="{CB4598FF-EE05-4195-A554-9219AF29B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892</xdr:row>
      <xdr:rowOff>38101</xdr:rowOff>
    </xdr:from>
    <xdr:to>
      <xdr:col>2</xdr:col>
      <xdr:colOff>28575</xdr:colOff>
      <xdr:row>895</xdr:row>
      <xdr:rowOff>179389</xdr:rowOff>
    </xdr:to>
    <xdr:pic>
      <xdr:nvPicPr>
        <xdr:cNvPr id="39" name="1 Imagen">
          <a:extLst>
            <a:ext uri="{FF2B5EF4-FFF2-40B4-BE49-F238E27FC236}">
              <a16:creationId xmlns:a16="http://schemas.microsoft.com/office/drawing/2014/main" id="{1AFE6E8E-77E2-4BC3-9593-B6EB77315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865</xdr:row>
      <xdr:rowOff>38101</xdr:rowOff>
    </xdr:from>
    <xdr:to>
      <xdr:col>2</xdr:col>
      <xdr:colOff>28575</xdr:colOff>
      <xdr:row>868</xdr:row>
      <xdr:rowOff>179389</xdr:rowOff>
    </xdr:to>
    <xdr:pic>
      <xdr:nvPicPr>
        <xdr:cNvPr id="40" name="1 Imagen">
          <a:extLst>
            <a:ext uri="{FF2B5EF4-FFF2-40B4-BE49-F238E27FC236}">
              <a16:creationId xmlns:a16="http://schemas.microsoft.com/office/drawing/2014/main" id="{B227A069-A128-4D05-895E-F681D7DF1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838</xdr:row>
      <xdr:rowOff>38101</xdr:rowOff>
    </xdr:from>
    <xdr:to>
      <xdr:col>2</xdr:col>
      <xdr:colOff>28575</xdr:colOff>
      <xdr:row>841</xdr:row>
      <xdr:rowOff>179389</xdr:rowOff>
    </xdr:to>
    <xdr:pic>
      <xdr:nvPicPr>
        <xdr:cNvPr id="41" name="1 Imagen">
          <a:extLst>
            <a:ext uri="{FF2B5EF4-FFF2-40B4-BE49-F238E27FC236}">
              <a16:creationId xmlns:a16="http://schemas.microsoft.com/office/drawing/2014/main" id="{145D4D3D-4E97-4158-A188-29A7E6FD9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811</xdr:row>
      <xdr:rowOff>38101</xdr:rowOff>
    </xdr:from>
    <xdr:to>
      <xdr:col>2</xdr:col>
      <xdr:colOff>28575</xdr:colOff>
      <xdr:row>814</xdr:row>
      <xdr:rowOff>179389</xdr:rowOff>
    </xdr:to>
    <xdr:pic>
      <xdr:nvPicPr>
        <xdr:cNvPr id="42" name="1 Imagen">
          <a:extLst>
            <a:ext uri="{FF2B5EF4-FFF2-40B4-BE49-F238E27FC236}">
              <a16:creationId xmlns:a16="http://schemas.microsoft.com/office/drawing/2014/main" id="{7F063CF2-C164-4244-8D48-0471F0CC6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784</xdr:row>
      <xdr:rowOff>38101</xdr:rowOff>
    </xdr:from>
    <xdr:to>
      <xdr:col>2</xdr:col>
      <xdr:colOff>28575</xdr:colOff>
      <xdr:row>787</xdr:row>
      <xdr:rowOff>179389</xdr:rowOff>
    </xdr:to>
    <xdr:pic>
      <xdr:nvPicPr>
        <xdr:cNvPr id="43" name="1 Imagen">
          <a:extLst>
            <a:ext uri="{FF2B5EF4-FFF2-40B4-BE49-F238E27FC236}">
              <a16:creationId xmlns:a16="http://schemas.microsoft.com/office/drawing/2014/main" id="{F6B56ADF-FB03-49C3-AF1B-D4A4EE44F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757</xdr:row>
      <xdr:rowOff>38101</xdr:rowOff>
    </xdr:from>
    <xdr:to>
      <xdr:col>2</xdr:col>
      <xdr:colOff>28575</xdr:colOff>
      <xdr:row>760</xdr:row>
      <xdr:rowOff>179389</xdr:rowOff>
    </xdr:to>
    <xdr:pic>
      <xdr:nvPicPr>
        <xdr:cNvPr id="44" name="1 Imagen">
          <a:extLst>
            <a:ext uri="{FF2B5EF4-FFF2-40B4-BE49-F238E27FC236}">
              <a16:creationId xmlns:a16="http://schemas.microsoft.com/office/drawing/2014/main" id="{0E69F45D-6CF5-472D-846F-FF3741EB5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730</xdr:row>
      <xdr:rowOff>38101</xdr:rowOff>
    </xdr:from>
    <xdr:to>
      <xdr:col>2</xdr:col>
      <xdr:colOff>28575</xdr:colOff>
      <xdr:row>733</xdr:row>
      <xdr:rowOff>179389</xdr:rowOff>
    </xdr:to>
    <xdr:pic>
      <xdr:nvPicPr>
        <xdr:cNvPr id="45" name="1 Imagen">
          <a:extLst>
            <a:ext uri="{FF2B5EF4-FFF2-40B4-BE49-F238E27FC236}">
              <a16:creationId xmlns:a16="http://schemas.microsoft.com/office/drawing/2014/main" id="{A3B7EA77-2918-4C40-84E4-D7ED3A84A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703</xdr:row>
      <xdr:rowOff>38101</xdr:rowOff>
    </xdr:from>
    <xdr:to>
      <xdr:col>2</xdr:col>
      <xdr:colOff>28575</xdr:colOff>
      <xdr:row>706</xdr:row>
      <xdr:rowOff>179389</xdr:rowOff>
    </xdr:to>
    <xdr:pic>
      <xdr:nvPicPr>
        <xdr:cNvPr id="46" name="1 Imagen">
          <a:extLst>
            <a:ext uri="{FF2B5EF4-FFF2-40B4-BE49-F238E27FC236}">
              <a16:creationId xmlns:a16="http://schemas.microsoft.com/office/drawing/2014/main" id="{2813C59F-9163-495C-B7A7-3082DCE76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676</xdr:row>
      <xdr:rowOff>38101</xdr:rowOff>
    </xdr:from>
    <xdr:to>
      <xdr:col>2</xdr:col>
      <xdr:colOff>28575</xdr:colOff>
      <xdr:row>679</xdr:row>
      <xdr:rowOff>179389</xdr:rowOff>
    </xdr:to>
    <xdr:pic>
      <xdr:nvPicPr>
        <xdr:cNvPr id="48" name="1 Imagen">
          <a:extLst>
            <a:ext uri="{FF2B5EF4-FFF2-40B4-BE49-F238E27FC236}">
              <a16:creationId xmlns:a16="http://schemas.microsoft.com/office/drawing/2014/main" id="{E486A870-D7BF-4DBD-980A-D374E0E31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22514</xdr:colOff>
      <xdr:row>649</xdr:row>
      <xdr:rowOff>20783</xdr:rowOff>
    </xdr:from>
    <xdr:to>
      <xdr:col>1</xdr:col>
      <xdr:colOff>755939</xdr:colOff>
      <xdr:row>652</xdr:row>
      <xdr:rowOff>162071</xdr:rowOff>
    </xdr:to>
    <xdr:pic>
      <xdr:nvPicPr>
        <xdr:cNvPr id="49" name="1 Imagen">
          <a:extLst>
            <a:ext uri="{FF2B5EF4-FFF2-40B4-BE49-F238E27FC236}">
              <a16:creationId xmlns:a16="http://schemas.microsoft.com/office/drawing/2014/main" id="{DA018C47-0B56-4669-944F-98EF04CD8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514" y="5354783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622</xdr:row>
      <xdr:rowOff>38101</xdr:rowOff>
    </xdr:from>
    <xdr:to>
      <xdr:col>2</xdr:col>
      <xdr:colOff>28575</xdr:colOff>
      <xdr:row>625</xdr:row>
      <xdr:rowOff>179389</xdr:rowOff>
    </xdr:to>
    <xdr:pic>
      <xdr:nvPicPr>
        <xdr:cNvPr id="50" name="1 Imagen">
          <a:extLst>
            <a:ext uri="{FF2B5EF4-FFF2-40B4-BE49-F238E27FC236}">
              <a16:creationId xmlns:a16="http://schemas.microsoft.com/office/drawing/2014/main" id="{16CF3248-14C4-4CC8-84D3-98845BAD5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595</xdr:row>
      <xdr:rowOff>38101</xdr:rowOff>
    </xdr:from>
    <xdr:to>
      <xdr:col>2</xdr:col>
      <xdr:colOff>28575</xdr:colOff>
      <xdr:row>598</xdr:row>
      <xdr:rowOff>179389</xdr:rowOff>
    </xdr:to>
    <xdr:pic>
      <xdr:nvPicPr>
        <xdr:cNvPr id="51" name="1 Imagen">
          <a:extLst>
            <a:ext uri="{FF2B5EF4-FFF2-40B4-BE49-F238E27FC236}">
              <a16:creationId xmlns:a16="http://schemas.microsoft.com/office/drawing/2014/main" id="{DC97A18D-1A0C-41DB-BC1C-269ABF76A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568</xdr:row>
      <xdr:rowOff>38101</xdr:rowOff>
    </xdr:from>
    <xdr:to>
      <xdr:col>2</xdr:col>
      <xdr:colOff>28575</xdr:colOff>
      <xdr:row>571</xdr:row>
      <xdr:rowOff>179389</xdr:rowOff>
    </xdr:to>
    <xdr:pic>
      <xdr:nvPicPr>
        <xdr:cNvPr id="52" name="1 Imagen">
          <a:extLst>
            <a:ext uri="{FF2B5EF4-FFF2-40B4-BE49-F238E27FC236}">
              <a16:creationId xmlns:a16="http://schemas.microsoft.com/office/drawing/2014/main" id="{C694C2A1-2CCD-4230-BBEB-66B67C33D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541</xdr:row>
      <xdr:rowOff>38101</xdr:rowOff>
    </xdr:from>
    <xdr:to>
      <xdr:col>2</xdr:col>
      <xdr:colOff>28575</xdr:colOff>
      <xdr:row>544</xdr:row>
      <xdr:rowOff>179389</xdr:rowOff>
    </xdr:to>
    <xdr:pic>
      <xdr:nvPicPr>
        <xdr:cNvPr id="53" name="1 Imagen">
          <a:extLst>
            <a:ext uri="{FF2B5EF4-FFF2-40B4-BE49-F238E27FC236}">
              <a16:creationId xmlns:a16="http://schemas.microsoft.com/office/drawing/2014/main" id="{C97A830B-BE84-4F20-ACEE-AD2F6480E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514</xdr:row>
      <xdr:rowOff>38101</xdr:rowOff>
    </xdr:from>
    <xdr:to>
      <xdr:col>2</xdr:col>
      <xdr:colOff>28575</xdr:colOff>
      <xdr:row>517</xdr:row>
      <xdr:rowOff>179389</xdr:rowOff>
    </xdr:to>
    <xdr:pic>
      <xdr:nvPicPr>
        <xdr:cNvPr id="54" name="1 Imagen">
          <a:extLst>
            <a:ext uri="{FF2B5EF4-FFF2-40B4-BE49-F238E27FC236}">
              <a16:creationId xmlns:a16="http://schemas.microsoft.com/office/drawing/2014/main" id="{DBA720B2-48DE-4618-B208-9DE400F8D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487</xdr:row>
      <xdr:rowOff>38101</xdr:rowOff>
    </xdr:from>
    <xdr:to>
      <xdr:col>2</xdr:col>
      <xdr:colOff>28575</xdr:colOff>
      <xdr:row>490</xdr:row>
      <xdr:rowOff>179389</xdr:rowOff>
    </xdr:to>
    <xdr:pic>
      <xdr:nvPicPr>
        <xdr:cNvPr id="55" name="1 Imagen">
          <a:extLst>
            <a:ext uri="{FF2B5EF4-FFF2-40B4-BE49-F238E27FC236}">
              <a16:creationId xmlns:a16="http://schemas.microsoft.com/office/drawing/2014/main" id="{BAC91960-D3E4-4652-9040-8ACA61F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460</xdr:row>
      <xdr:rowOff>38101</xdr:rowOff>
    </xdr:from>
    <xdr:to>
      <xdr:col>2</xdr:col>
      <xdr:colOff>28575</xdr:colOff>
      <xdr:row>463</xdr:row>
      <xdr:rowOff>179389</xdr:rowOff>
    </xdr:to>
    <xdr:pic>
      <xdr:nvPicPr>
        <xdr:cNvPr id="56" name="1 Imagen">
          <a:extLst>
            <a:ext uri="{FF2B5EF4-FFF2-40B4-BE49-F238E27FC236}">
              <a16:creationId xmlns:a16="http://schemas.microsoft.com/office/drawing/2014/main" id="{265C6007-A5E0-482A-B17A-99A018D7E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433</xdr:row>
      <xdr:rowOff>38101</xdr:rowOff>
    </xdr:from>
    <xdr:to>
      <xdr:col>2</xdr:col>
      <xdr:colOff>28575</xdr:colOff>
      <xdr:row>436</xdr:row>
      <xdr:rowOff>179389</xdr:rowOff>
    </xdr:to>
    <xdr:pic>
      <xdr:nvPicPr>
        <xdr:cNvPr id="57" name="1 Imagen">
          <a:extLst>
            <a:ext uri="{FF2B5EF4-FFF2-40B4-BE49-F238E27FC236}">
              <a16:creationId xmlns:a16="http://schemas.microsoft.com/office/drawing/2014/main" id="{416FFFDE-78AA-4BD9-A2D4-B27E4D86A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406</xdr:row>
      <xdr:rowOff>38101</xdr:rowOff>
    </xdr:from>
    <xdr:to>
      <xdr:col>2</xdr:col>
      <xdr:colOff>28575</xdr:colOff>
      <xdr:row>409</xdr:row>
      <xdr:rowOff>179389</xdr:rowOff>
    </xdr:to>
    <xdr:pic>
      <xdr:nvPicPr>
        <xdr:cNvPr id="58" name="1 Imagen">
          <a:extLst>
            <a:ext uri="{FF2B5EF4-FFF2-40B4-BE49-F238E27FC236}">
              <a16:creationId xmlns:a16="http://schemas.microsoft.com/office/drawing/2014/main" id="{B26DFA60-5BEF-45E7-97AF-B50F3F995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379</xdr:row>
      <xdr:rowOff>38101</xdr:rowOff>
    </xdr:from>
    <xdr:to>
      <xdr:col>2</xdr:col>
      <xdr:colOff>28575</xdr:colOff>
      <xdr:row>382</xdr:row>
      <xdr:rowOff>179389</xdr:rowOff>
    </xdr:to>
    <xdr:pic>
      <xdr:nvPicPr>
        <xdr:cNvPr id="59" name="1 Imagen">
          <a:extLst>
            <a:ext uri="{FF2B5EF4-FFF2-40B4-BE49-F238E27FC236}">
              <a16:creationId xmlns:a16="http://schemas.microsoft.com/office/drawing/2014/main" id="{1205D721-3F88-44CB-85B2-663362888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352</xdr:row>
      <xdr:rowOff>38101</xdr:rowOff>
    </xdr:from>
    <xdr:to>
      <xdr:col>2</xdr:col>
      <xdr:colOff>28575</xdr:colOff>
      <xdr:row>355</xdr:row>
      <xdr:rowOff>179389</xdr:rowOff>
    </xdr:to>
    <xdr:pic>
      <xdr:nvPicPr>
        <xdr:cNvPr id="60" name="1 Imagen">
          <a:extLst>
            <a:ext uri="{FF2B5EF4-FFF2-40B4-BE49-F238E27FC236}">
              <a16:creationId xmlns:a16="http://schemas.microsoft.com/office/drawing/2014/main" id="{433A122D-41B7-4B0A-9625-08F90E77E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325</xdr:row>
      <xdr:rowOff>38101</xdr:rowOff>
    </xdr:from>
    <xdr:to>
      <xdr:col>2</xdr:col>
      <xdr:colOff>28575</xdr:colOff>
      <xdr:row>328</xdr:row>
      <xdr:rowOff>179389</xdr:rowOff>
    </xdr:to>
    <xdr:pic>
      <xdr:nvPicPr>
        <xdr:cNvPr id="61" name="1 Imagen">
          <a:extLst>
            <a:ext uri="{FF2B5EF4-FFF2-40B4-BE49-F238E27FC236}">
              <a16:creationId xmlns:a16="http://schemas.microsoft.com/office/drawing/2014/main" id="{1928573F-9BF9-4AA7-9862-8F81B4F82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298</xdr:row>
      <xdr:rowOff>38101</xdr:rowOff>
    </xdr:from>
    <xdr:to>
      <xdr:col>2</xdr:col>
      <xdr:colOff>28575</xdr:colOff>
      <xdr:row>301</xdr:row>
      <xdr:rowOff>179389</xdr:rowOff>
    </xdr:to>
    <xdr:pic>
      <xdr:nvPicPr>
        <xdr:cNvPr id="62" name="1 Imagen">
          <a:extLst>
            <a:ext uri="{FF2B5EF4-FFF2-40B4-BE49-F238E27FC236}">
              <a16:creationId xmlns:a16="http://schemas.microsoft.com/office/drawing/2014/main" id="{E7C1CF98-21AB-481C-A8E6-EEF57DB90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271</xdr:row>
      <xdr:rowOff>38101</xdr:rowOff>
    </xdr:from>
    <xdr:to>
      <xdr:col>2</xdr:col>
      <xdr:colOff>28575</xdr:colOff>
      <xdr:row>274</xdr:row>
      <xdr:rowOff>179389</xdr:rowOff>
    </xdr:to>
    <xdr:pic>
      <xdr:nvPicPr>
        <xdr:cNvPr id="63" name="1 Imagen">
          <a:extLst>
            <a:ext uri="{FF2B5EF4-FFF2-40B4-BE49-F238E27FC236}">
              <a16:creationId xmlns:a16="http://schemas.microsoft.com/office/drawing/2014/main" id="{25E4C7D6-A37B-4001-9244-A8AB62F5F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244</xdr:row>
      <xdr:rowOff>38101</xdr:rowOff>
    </xdr:from>
    <xdr:to>
      <xdr:col>2</xdr:col>
      <xdr:colOff>28575</xdr:colOff>
      <xdr:row>247</xdr:row>
      <xdr:rowOff>179389</xdr:rowOff>
    </xdr:to>
    <xdr:pic>
      <xdr:nvPicPr>
        <xdr:cNvPr id="64" name="1 Imagen">
          <a:extLst>
            <a:ext uri="{FF2B5EF4-FFF2-40B4-BE49-F238E27FC236}">
              <a16:creationId xmlns:a16="http://schemas.microsoft.com/office/drawing/2014/main" id="{56CE6E7F-98B5-4CDE-AFEB-8FCCC6302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217</xdr:row>
      <xdr:rowOff>38101</xdr:rowOff>
    </xdr:from>
    <xdr:to>
      <xdr:col>2</xdr:col>
      <xdr:colOff>28575</xdr:colOff>
      <xdr:row>220</xdr:row>
      <xdr:rowOff>179389</xdr:rowOff>
    </xdr:to>
    <xdr:pic>
      <xdr:nvPicPr>
        <xdr:cNvPr id="65" name="1 Imagen">
          <a:extLst>
            <a:ext uri="{FF2B5EF4-FFF2-40B4-BE49-F238E27FC236}">
              <a16:creationId xmlns:a16="http://schemas.microsoft.com/office/drawing/2014/main" id="{A78BB348-EEBD-4133-A785-B4C2697AC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190</xdr:row>
      <xdr:rowOff>38101</xdr:rowOff>
    </xdr:from>
    <xdr:to>
      <xdr:col>2</xdr:col>
      <xdr:colOff>28575</xdr:colOff>
      <xdr:row>193</xdr:row>
      <xdr:rowOff>179389</xdr:rowOff>
    </xdr:to>
    <xdr:pic>
      <xdr:nvPicPr>
        <xdr:cNvPr id="66" name="1 Imagen">
          <a:extLst>
            <a:ext uri="{FF2B5EF4-FFF2-40B4-BE49-F238E27FC236}">
              <a16:creationId xmlns:a16="http://schemas.microsoft.com/office/drawing/2014/main" id="{DBDCFA87-D52E-4F2C-829D-8FA05E376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163</xdr:row>
      <xdr:rowOff>38101</xdr:rowOff>
    </xdr:from>
    <xdr:to>
      <xdr:col>2</xdr:col>
      <xdr:colOff>28575</xdr:colOff>
      <xdr:row>166</xdr:row>
      <xdr:rowOff>179389</xdr:rowOff>
    </xdr:to>
    <xdr:pic>
      <xdr:nvPicPr>
        <xdr:cNvPr id="67" name="1 Imagen">
          <a:extLst>
            <a:ext uri="{FF2B5EF4-FFF2-40B4-BE49-F238E27FC236}">
              <a16:creationId xmlns:a16="http://schemas.microsoft.com/office/drawing/2014/main" id="{2E9CEF4C-149C-44A8-9FEB-204ACE08D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136</xdr:row>
      <xdr:rowOff>38101</xdr:rowOff>
    </xdr:from>
    <xdr:to>
      <xdr:col>2</xdr:col>
      <xdr:colOff>28575</xdr:colOff>
      <xdr:row>139</xdr:row>
      <xdr:rowOff>179389</xdr:rowOff>
    </xdr:to>
    <xdr:pic>
      <xdr:nvPicPr>
        <xdr:cNvPr id="68" name="1 Imagen">
          <a:extLst>
            <a:ext uri="{FF2B5EF4-FFF2-40B4-BE49-F238E27FC236}">
              <a16:creationId xmlns:a16="http://schemas.microsoft.com/office/drawing/2014/main" id="{417B4992-B637-42A9-84FB-AFE6C3028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109</xdr:row>
      <xdr:rowOff>38101</xdr:rowOff>
    </xdr:from>
    <xdr:to>
      <xdr:col>2</xdr:col>
      <xdr:colOff>28575</xdr:colOff>
      <xdr:row>112</xdr:row>
      <xdr:rowOff>179389</xdr:rowOff>
    </xdr:to>
    <xdr:pic>
      <xdr:nvPicPr>
        <xdr:cNvPr id="69" name="1 Imagen">
          <a:extLst>
            <a:ext uri="{FF2B5EF4-FFF2-40B4-BE49-F238E27FC236}">
              <a16:creationId xmlns:a16="http://schemas.microsoft.com/office/drawing/2014/main" id="{161A125F-931F-4556-978D-91854C095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82</xdr:row>
      <xdr:rowOff>38101</xdr:rowOff>
    </xdr:from>
    <xdr:to>
      <xdr:col>2</xdr:col>
      <xdr:colOff>28575</xdr:colOff>
      <xdr:row>85</xdr:row>
      <xdr:rowOff>179389</xdr:rowOff>
    </xdr:to>
    <xdr:pic>
      <xdr:nvPicPr>
        <xdr:cNvPr id="70" name="1 Imagen">
          <a:extLst>
            <a:ext uri="{FF2B5EF4-FFF2-40B4-BE49-F238E27FC236}">
              <a16:creationId xmlns:a16="http://schemas.microsoft.com/office/drawing/2014/main" id="{222BFA17-2B3E-450A-A724-D85117D20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55</xdr:row>
      <xdr:rowOff>38101</xdr:rowOff>
    </xdr:from>
    <xdr:to>
      <xdr:col>2</xdr:col>
      <xdr:colOff>28575</xdr:colOff>
      <xdr:row>58</xdr:row>
      <xdr:rowOff>179389</xdr:rowOff>
    </xdr:to>
    <xdr:pic>
      <xdr:nvPicPr>
        <xdr:cNvPr id="71" name="1 Imagen">
          <a:extLst>
            <a:ext uri="{FF2B5EF4-FFF2-40B4-BE49-F238E27FC236}">
              <a16:creationId xmlns:a16="http://schemas.microsoft.com/office/drawing/2014/main" id="{DEAF8257-7C9A-431F-A761-ECA626C99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28</xdr:row>
      <xdr:rowOff>38101</xdr:rowOff>
    </xdr:from>
    <xdr:to>
      <xdr:col>2</xdr:col>
      <xdr:colOff>28575</xdr:colOff>
      <xdr:row>31</xdr:row>
      <xdr:rowOff>179389</xdr:rowOff>
    </xdr:to>
    <xdr:pic>
      <xdr:nvPicPr>
        <xdr:cNvPr id="72" name="1 Imagen">
          <a:extLst>
            <a:ext uri="{FF2B5EF4-FFF2-40B4-BE49-F238E27FC236}">
              <a16:creationId xmlns:a16="http://schemas.microsoft.com/office/drawing/2014/main" id="{01AACE7F-671B-46FE-BB1C-7955ACDCB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</xdr:row>
      <xdr:rowOff>38101</xdr:rowOff>
    </xdr:from>
    <xdr:to>
      <xdr:col>2</xdr:col>
      <xdr:colOff>28575</xdr:colOff>
      <xdr:row>4</xdr:row>
      <xdr:rowOff>179389</xdr:rowOff>
    </xdr:to>
    <xdr:pic>
      <xdr:nvPicPr>
        <xdr:cNvPr id="73" name="1 Imagen">
          <a:extLst>
            <a:ext uri="{FF2B5EF4-FFF2-40B4-BE49-F238E27FC236}">
              <a16:creationId xmlns:a16="http://schemas.microsoft.com/office/drawing/2014/main" id="{8CE77B4F-89C2-4BDA-A833-DD7770C32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38101</xdr:rowOff>
    </xdr:from>
    <xdr:to>
      <xdr:col>1</xdr:col>
      <xdr:colOff>790575</xdr:colOff>
      <xdr:row>4</xdr:row>
      <xdr:rowOff>179389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228601"/>
          <a:ext cx="733425" cy="7127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artin_valentin@hotmail.com" TargetMode="External"/><Relationship Id="rId18" Type="http://schemas.openxmlformats.org/officeDocument/2006/relationships/hyperlink" Target="mailto:atristan3003@gmail.com" TargetMode="External"/><Relationship Id="rId26" Type="http://schemas.openxmlformats.org/officeDocument/2006/relationships/hyperlink" Target="mailto:mavens@hotmail.com" TargetMode="External"/><Relationship Id="rId39" Type="http://schemas.openxmlformats.org/officeDocument/2006/relationships/hyperlink" Target="mailto:salazarcelia74@gmail.com" TargetMode="External"/><Relationship Id="rId21" Type="http://schemas.openxmlformats.org/officeDocument/2006/relationships/hyperlink" Target="mailto:mirly_hm@hotmail.com" TargetMode="External"/><Relationship Id="rId34" Type="http://schemas.openxmlformats.org/officeDocument/2006/relationships/hyperlink" Target="mailto:lourdes76rdz@gmail.com" TargetMode="External"/><Relationship Id="rId42" Type="http://schemas.openxmlformats.org/officeDocument/2006/relationships/hyperlink" Target="mailto:Angy.mtz2209@gmail.com" TargetMode="External"/><Relationship Id="rId47" Type="http://schemas.openxmlformats.org/officeDocument/2006/relationships/hyperlink" Target="mailto:rcorteztere12@gmail.com" TargetMode="External"/><Relationship Id="rId50" Type="http://schemas.openxmlformats.org/officeDocument/2006/relationships/hyperlink" Target="mailto:maldonadofrancisco279@gmail.com" TargetMode="External"/><Relationship Id="rId55" Type="http://schemas.openxmlformats.org/officeDocument/2006/relationships/hyperlink" Target="mailto:elenacantu@gmail.com" TargetMode="External"/><Relationship Id="rId7" Type="http://schemas.openxmlformats.org/officeDocument/2006/relationships/hyperlink" Target="mailto:mbmm9.mm@gmail.com" TargetMode="External"/><Relationship Id="rId2" Type="http://schemas.openxmlformats.org/officeDocument/2006/relationships/hyperlink" Target="mailto:garanc29@gmail.com" TargetMode="External"/><Relationship Id="rId16" Type="http://schemas.openxmlformats.org/officeDocument/2006/relationships/hyperlink" Target="mailto:luchitasolis55@gmail.com" TargetMode="External"/><Relationship Id="rId29" Type="http://schemas.openxmlformats.org/officeDocument/2006/relationships/hyperlink" Target="mailto:fvelasquez805@gmail.com" TargetMode="External"/><Relationship Id="rId11" Type="http://schemas.openxmlformats.org/officeDocument/2006/relationships/hyperlink" Target="mailto:ejemplo@gmail.com" TargetMode="External"/><Relationship Id="rId24" Type="http://schemas.openxmlformats.org/officeDocument/2006/relationships/hyperlink" Target="mailto:Abhygr@gmail.com" TargetMode="External"/><Relationship Id="rId32" Type="http://schemas.openxmlformats.org/officeDocument/2006/relationships/hyperlink" Target="mailto:emendozaconstantino@gmail.com" TargetMode="External"/><Relationship Id="rId37" Type="http://schemas.openxmlformats.org/officeDocument/2006/relationships/hyperlink" Target="mailto:elenanavarro768@gmail%20.com" TargetMode="External"/><Relationship Id="rId40" Type="http://schemas.openxmlformats.org/officeDocument/2006/relationships/hyperlink" Target="mailto:romaabelen@gmail.com" TargetMode="External"/><Relationship Id="rId45" Type="http://schemas.openxmlformats.org/officeDocument/2006/relationships/hyperlink" Target="mailto:mcsandovalsalazar@hotmail.com" TargetMode="External"/><Relationship Id="rId53" Type="http://schemas.openxmlformats.org/officeDocument/2006/relationships/hyperlink" Target="mailto:lizbethn2809@gmail.com" TargetMode="External"/><Relationship Id="rId58" Type="http://schemas.openxmlformats.org/officeDocument/2006/relationships/hyperlink" Target="mailto:floresmariaangelica8@gmail.com" TargetMode="External"/><Relationship Id="rId5" Type="http://schemas.openxmlformats.org/officeDocument/2006/relationships/hyperlink" Target="mailto:Magdalenocantu@hotmail.es" TargetMode="External"/><Relationship Id="rId19" Type="http://schemas.openxmlformats.org/officeDocument/2006/relationships/hyperlink" Target="mailto:m.p.s.aguilar@gmail.com" TargetMode="External"/><Relationship Id="rId4" Type="http://schemas.openxmlformats.org/officeDocument/2006/relationships/hyperlink" Target="mailto:pruebaafiliado22@gmail.com" TargetMode="External"/><Relationship Id="rId9" Type="http://schemas.openxmlformats.org/officeDocument/2006/relationships/hyperlink" Target="mailto:berthavazquezt@gmail.com" TargetMode="External"/><Relationship Id="rId14" Type="http://schemas.openxmlformats.org/officeDocument/2006/relationships/hyperlink" Target="mailto:hector_rayado@hotmail.com" TargetMode="External"/><Relationship Id="rId22" Type="http://schemas.openxmlformats.org/officeDocument/2006/relationships/hyperlink" Target="mailto:pattysotoluna@gmail.com" TargetMode="External"/><Relationship Id="rId27" Type="http://schemas.openxmlformats.org/officeDocument/2006/relationships/hyperlink" Target="mailto:unl.lorenzadelarosa@gmail.com" TargetMode="External"/><Relationship Id="rId30" Type="http://schemas.openxmlformats.org/officeDocument/2006/relationships/hyperlink" Target="mailto:mariposa20031@outlook.com" TargetMode="External"/><Relationship Id="rId35" Type="http://schemas.openxmlformats.org/officeDocument/2006/relationships/hyperlink" Target="mailto:maggy_silos64@hotmail.com" TargetMode="External"/><Relationship Id="rId43" Type="http://schemas.openxmlformats.org/officeDocument/2006/relationships/hyperlink" Target="mailto:t.medranordz@gmail.com" TargetMode="External"/><Relationship Id="rId48" Type="http://schemas.openxmlformats.org/officeDocument/2006/relationships/hyperlink" Target="mailto:cgrp1992@icloud.com" TargetMode="External"/><Relationship Id="rId56" Type="http://schemas.openxmlformats.org/officeDocument/2006/relationships/hyperlink" Target="mailto:kaarz13@gmail.com" TargetMode="External"/><Relationship Id="rId8" Type="http://schemas.openxmlformats.org/officeDocument/2006/relationships/hyperlink" Target="mailto:Chulismuliso0202@gmail.com" TargetMode="External"/><Relationship Id="rId51" Type="http://schemas.openxmlformats.org/officeDocument/2006/relationships/hyperlink" Target="mailto:mcsa0622@gmail.com" TargetMode="External"/><Relationship Id="rId3" Type="http://schemas.openxmlformats.org/officeDocument/2006/relationships/hyperlink" Target="mailto:Deya.cavazos@gmail.com" TargetMode="External"/><Relationship Id="rId12" Type="http://schemas.openxmlformats.org/officeDocument/2006/relationships/hyperlink" Target="mailto:letionti@live.com.mx" TargetMode="External"/><Relationship Id="rId17" Type="http://schemas.openxmlformats.org/officeDocument/2006/relationships/hyperlink" Target="mailto:panuco1948@gmail.com" TargetMode="External"/><Relationship Id="rId25" Type="http://schemas.openxmlformats.org/officeDocument/2006/relationships/hyperlink" Target="mailto:fuentes.deyanira80@gmail.com" TargetMode="External"/><Relationship Id="rId33" Type="http://schemas.openxmlformats.org/officeDocument/2006/relationships/hyperlink" Target="mailto:aidaabril09@outlook.com" TargetMode="External"/><Relationship Id="rId38" Type="http://schemas.openxmlformats.org/officeDocument/2006/relationships/hyperlink" Target="mailto:ansliderasgo@hotmail.com" TargetMode="External"/><Relationship Id="rId46" Type="http://schemas.openxmlformats.org/officeDocument/2006/relationships/hyperlink" Target="mailto:Idalia_garzag@hotmail.com" TargetMode="External"/><Relationship Id="rId59" Type="http://schemas.openxmlformats.org/officeDocument/2006/relationships/printerSettings" Target="../printerSettings/printerSettings3.bin"/><Relationship Id="rId20" Type="http://schemas.openxmlformats.org/officeDocument/2006/relationships/hyperlink" Target="mailto:amiga.lety0@gmail.com" TargetMode="External"/><Relationship Id="rId41" Type="http://schemas.openxmlformats.org/officeDocument/2006/relationships/hyperlink" Target="mailto:Jorgegarza889@gmail.com" TargetMode="External"/><Relationship Id="rId54" Type="http://schemas.openxmlformats.org/officeDocument/2006/relationships/hyperlink" Target="mailto:aureliolopez369@yahoo.com" TargetMode="External"/><Relationship Id="rId1" Type="http://schemas.openxmlformats.org/officeDocument/2006/relationships/hyperlink" Target="mailto:hnocavazos80@hotmail.com" TargetMode="External"/><Relationship Id="rId6" Type="http://schemas.openxmlformats.org/officeDocument/2006/relationships/hyperlink" Target="mailto:rafatoys1@yahoo.com.mx" TargetMode="External"/><Relationship Id="rId15" Type="http://schemas.openxmlformats.org/officeDocument/2006/relationships/hyperlink" Target="mailto:jesus.enri.je@gmail.com" TargetMode="External"/><Relationship Id="rId23" Type="http://schemas.openxmlformats.org/officeDocument/2006/relationships/hyperlink" Target="mailto:lupy80@hotmail.com" TargetMode="External"/><Relationship Id="rId28" Type="http://schemas.openxmlformats.org/officeDocument/2006/relationships/hyperlink" Target="mailto:mildrethgm2710@gmail.com" TargetMode="External"/><Relationship Id="rId36" Type="http://schemas.openxmlformats.org/officeDocument/2006/relationships/hyperlink" Target="mailto:almar3259@gmail.com" TargetMode="External"/><Relationship Id="rId49" Type="http://schemas.openxmlformats.org/officeDocument/2006/relationships/hyperlink" Target="mailto:mpineda1012@hotmail.com" TargetMode="External"/><Relationship Id="rId57" Type="http://schemas.openxmlformats.org/officeDocument/2006/relationships/hyperlink" Target="mailto:tere.quezada75@gmail.com" TargetMode="External"/><Relationship Id="rId10" Type="http://schemas.openxmlformats.org/officeDocument/2006/relationships/hyperlink" Target="mailto:imelda.ggarza@gmail.com" TargetMode="External"/><Relationship Id="rId31" Type="http://schemas.openxmlformats.org/officeDocument/2006/relationships/hyperlink" Target="mailto:mariposa20031@outlook.com" TargetMode="External"/><Relationship Id="rId44" Type="http://schemas.openxmlformats.org/officeDocument/2006/relationships/hyperlink" Target="mailto:Inoxmart@hotmail.com" TargetMode="External"/><Relationship Id="rId52" Type="http://schemas.openxmlformats.org/officeDocument/2006/relationships/hyperlink" Target="mailto:rous_25er@hot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C2:F20"/>
  <sheetViews>
    <sheetView topLeftCell="A4" workbookViewId="0">
      <selection activeCell="D4" sqref="D4"/>
    </sheetView>
  </sheetViews>
  <sheetFormatPr baseColWidth="10" defaultColWidth="11.42578125" defaultRowHeight="15" x14ac:dyDescent="0.25"/>
  <cols>
    <col min="3" max="3" width="34.42578125" customWidth="1"/>
    <col min="4" max="4" width="43.140625" customWidth="1"/>
  </cols>
  <sheetData>
    <row r="2" spans="3:6" x14ac:dyDescent="0.25">
      <c r="C2" s="240" t="s">
        <v>15</v>
      </c>
      <c r="D2" s="240"/>
    </row>
    <row r="3" spans="3:6" x14ac:dyDescent="0.25">
      <c r="C3" s="240"/>
      <c r="D3" s="240"/>
    </row>
    <row r="4" spans="3:6" ht="18.75" x14ac:dyDescent="0.25">
      <c r="C4" s="44" t="s">
        <v>0</v>
      </c>
      <c r="D4" s="99"/>
    </row>
    <row r="5" spans="3:6" ht="18.75" x14ac:dyDescent="0.25">
      <c r="C5" s="45" t="s">
        <v>1</v>
      </c>
      <c r="D5" s="197"/>
    </row>
    <row r="6" spans="3:6" ht="18.75" x14ac:dyDescent="0.25">
      <c r="C6" s="45" t="s">
        <v>2</v>
      </c>
      <c r="D6" s="47"/>
    </row>
    <row r="7" spans="3:6" ht="18.75" x14ac:dyDescent="0.25">
      <c r="C7" s="45" t="s">
        <v>3</v>
      </c>
      <c r="D7" s="47"/>
    </row>
    <row r="8" spans="3:6" ht="18.75" x14ac:dyDescent="0.25">
      <c r="C8" s="45" t="s">
        <v>14</v>
      </c>
      <c r="D8" s="47"/>
    </row>
    <row r="9" spans="3:6" ht="18.75" x14ac:dyDescent="0.25">
      <c r="C9" s="45" t="s">
        <v>4</v>
      </c>
      <c r="D9" s="47"/>
    </row>
    <row r="10" spans="3:6" ht="18.75" x14ac:dyDescent="0.25">
      <c r="C10" s="45" t="s">
        <v>134</v>
      </c>
      <c r="D10" s="58"/>
    </row>
    <row r="11" spans="3:6" ht="18.75" x14ac:dyDescent="0.25">
      <c r="C11" s="45" t="s">
        <v>5</v>
      </c>
      <c r="D11" s="58"/>
      <c r="F11" t="s">
        <v>161</v>
      </c>
    </row>
    <row r="12" spans="3:6" ht="18.75" x14ac:dyDescent="0.25">
      <c r="C12" s="45" t="s">
        <v>6</v>
      </c>
      <c r="D12" s="48"/>
    </row>
    <row r="13" spans="3:6" ht="18.75" x14ac:dyDescent="0.25">
      <c r="C13" s="45" t="s">
        <v>7</v>
      </c>
      <c r="D13" s="47"/>
    </row>
    <row r="14" spans="3:6" ht="18.75" x14ac:dyDescent="0.25">
      <c r="C14" s="45" t="s">
        <v>8</v>
      </c>
      <c r="D14" s="47"/>
    </row>
    <row r="15" spans="3:6" ht="18.75" x14ac:dyDescent="0.25">
      <c r="C15" s="45" t="s">
        <v>9</v>
      </c>
      <c r="D15" s="47"/>
    </row>
    <row r="16" spans="3:6" ht="18.75" x14ac:dyDescent="0.25">
      <c r="C16" s="45" t="s">
        <v>10</v>
      </c>
      <c r="D16" s="47"/>
    </row>
    <row r="17" spans="3:4" ht="18.75" x14ac:dyDescent="0.25">
      <c r="C17" s="45" t="s">
        <v>11</v>
      </c>
      <c r="D17" s="47"/>
    </row>
    <row r="18" spans="3:4" ht="18.75" x14ac:dyDescent="0.25">
      <c r="C18" s="45" t="s">
        <v>13</v>
      </c>
      <c r="D18" s="47"/>
    </row>
    <row r="19" spans="3:4" ht="18.75" customHeight="1" x14ac:dyDescent="0.25">
      <c r="C19" s="45" t="s">
        <v>12</v>
      </c>
      <c r="D19" s="49" t="e">
        <f>VLOOKUP(D18,'DATOS REGISTRADOS'!B:C,2,FALSE)</f>
        <v>#N/A</v>
      </c>
    </row>
    <row r="20" spans="3:4" ht="15" customHeight="1" x14ac:dyDescent="0.25">
      <c r="C20" s="57" t="s">
        <v>133</v>
      </c>
      <c r="D20" s="47"/>
    </row>
  </sheetData>
  <mergeCells count="1">
    <mergeCell ref="C2:D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O27"/>
  <sheetViews>
    <sheetView zoomScale="90" zoomScaleNormal="90" workbookViewId="0">
      <selection activeCell="H18" sqref="H18"/>
    </sheetView>
  </sheetViews>
  <sheetFormatPr baseColWidth="10" defaultColWidth="11.42578125" defaultRowHeight="15" x14ac:dyDescent="0.25"/>
  <cols>
    <col min="1" max="1" width="11.42578125" style="1"/>
    <col min="2" max="2" width="12.28515625" style="1" customWidth="1"/>
    <col min="3" max="3" width="12.85546875" style="1" customWidth="1"/>
    <col min="4" max="4" width="16.140625" style="1" customWidth="1"/>
    <col min="5" max="5" width="21.140625" style="1" customWidth="1"/>
    <col min="6" max="6" width="11.42578125" style="1"/>
    <col min="7" max="7" width="13.42578125" style="1" customWidth="1"/>
    <col min="8" max="16384" width="11.42578125" style="1"/>
  </cols>
  <sheetData>
    <row r="1" spans="2:15" x14ac:dyDescent="0.25">
      <c r="O1" s="1" t="s">
        <v>161</v>
      </c>
    </row>
    <row r="2" spans="2:15" x14ac:dyDescent="0.25">
      <c r="C2" s="250" t="s">
        <v>22</v>
      </c>
      <c r="D2" s="250"/>
      <c r="E2" s="42"/>
      <c r="F2" s="250"/>
      <c r="G2" s="250"/>
    </row>
    <row r="3" spans="2:15" x14ac:dyDescent="0.25">
      <c r="C3" s="251"/>
      <c r="D3" s="251"/>
      <c r="F3" s="43"/>
    </row>
    <row r="4" spans="2:15" x14ac:dyDescent="0.25">
      <c r="C4" s="27" t="s">
        <v>138</v>
      </c>
      <c r="D4" s="225"/>
      <c r="E4" s="33" t="s">
        <v>125</v>
      </c>
      <c r="F4" s="56">
        <v>77</v>
      </c>
    </row>
    <row r="5" spans="2:15" x14ac:dyDescent="0.25">
      <c r="C5" s="29" t="s">
        <v>91</v>
      </c>
      <c r="D5" s="28" t="str">
        <f>IFERROR(VLOOKUP(D4,'DATOS REGISTRADOS'!B:Q,16,FALSE)," ")</f>
        <v xml:space="preserve"> </v>
      </c>
      <c r="E5" s="30" t="s">
        <v>78</v>
      </c>
      <c r="F5" s="31">
        <f ca="1">TODAY()</f>
        <v>44377</v>
      </c>
    </row>
    <row r="6" spans="2:15" x14ac:dyDescent="0.25">
      <c r="B6" s="255" t="s">
        <v>79</v>
      </c>
      <c r="C6" s="256"/>
      <c r="D6" s="256"/>
      <c r="E6" s="256"/>
      <c r="F6" s="256"/>
      <c r="G6" s="256"/>
    </row>
    <row r="7" spans="2:15" x14ac:dyDescent="0.25">
      <c r="B7" s="32" t="s">
        <v>80</v>
      </c>
      <c r="C7" s="257" t="str">
        <f>IFERROR(VLOOKUP(D4,'DATOS REGISTRADOS'!B:C,2,FALSE)," ")</f>
        <v xml:space="preserve"> </v>
      </c>
      <c r="D7" s="257"/>
      <c r="E7" s="258"/>
      <c r="F7" s="258"/>
      <c r="G7" s="258"/>
    </row>
    <row r="8" spans="2:15" ht="21" customHeight="1" x14ac:dyDescent="0.25">
      <c r="B8" s="34" t="s">
        <v>81</v>
      </c>
      <c r="C8" s="259" t="str">
        <f>IFERROR(VLOOKUP(D4,'DATOS REGISTRADOS'!B:Q,3,FALSE)," ")</f>
        <v xml:space="preserve"> </v>
      </c>
      <c r="D8" s="260"/>
      <c r="E8" s="35" t="s">
        <v>82</v>
      </c>
      <c r="F8" s="261" t="str">
        <f>IFERROR(VLOOKUP(D4,'DATOS REGISTRADOS'!B:Q,7,FALSE)," ")</f>
        <v xml:space="preserve"> </v>
      </c>
      <c r="G8" s="261"/>
    </row>
    <row r="9" spans="2:15" x14ac:dyDescent="0.25">
      <c r="C9" s="243" t="str">
        <f>IFERROR(VLOOKUP(D4,'DATOS REGISTRADOS'!B:Q,4,FALSE)," ")</f>
        <v xml:space="preserve"> </v>
      </c>
      <c r="D9" s="244"/>
    </row>
    <row r="10" spans="2:15" s="218" customFormat="1" x14ac:dyDescent="0.25">
      <c r="C10" s="243"/>
      <c r="D10" s="244"/>
      <c r="E10" s="1" t="str">
        <f>IFERROR(VLOOKUP(D4,'DATOS REGISTRADOS'!B:Q,16,FALSE)," ")</f>
        <v xml:space="preserve"> </v>
      </c>
      <c r="F10" s="1" t="str">
        <f>IFERROR(VLOOKUP(E10,'DATOS REGISTRADOS'!B:Q,16,FALSE)," ")</f>
        <v xml:space="preserve"> </v>
      </c>
      <c r="G10" s="1" t="str">
        <f>IFERROR(VLOOKUP(F10,'DATOS REGISTRADOS'!B:Q,16,FALSE)," ")</f>
        <v xml:space="preserve"> </v>
      </c>
    </row>
    <row r="11" spans="2:15" x14ac:dyDescent="0.25">
      <c r="C11" s="66" t="str">
        <f>IFERROR(VLOOKUP(D4,'DATOS REGISTRADOS'!B:Q,5,FALSE)," ")</f>
        <v xml:space="preserve"> </v>
      </c>
      <c r="D11" s="67" t="str">
        <f>IFERROR(VLOOKUP(D4,'DATOS REGISTRADOS'!B:Q,6,FALSE)," ")</f>
        <v xml:space="preserve"> </v>
      </c>
      <c r="E11" s="1" t="s">
        <v>373</v>
      </c>
      <c r="F11" s="1" t="s">
        <v>374</v>
      </c>
      <c r="G11" s="1" t="s">
        <v>375</v>
      </c>
    </row>
    <row r="12" spans="2:15" x14ac:dyDescent="0.25">
      <c r="B12" s="256" t="s">
        <v>83</v>
      </c>
      <c r="C12" s="262"/>
      <c r="D12" s="262"/>
      <c r="E12" s="256"/>
      <c r="F12" s="256"/>
      <c r="G12" s="256"/>
    </row>
    <row r="13" spans="2:15" x14ac:dyDescent="0.25">
      <c r="B13" s="32"/>
      <c r="C13" s="222" t="s">
        <v>86</v>
      </c>
      <c r="D13" s="249"/>
      <c r="E13" s="249"/>
      <c r="F13" s="32" t="s">
        <v>87</v>
      </c>
      <c r="G13" s="32" t="s">
        <v>57</v>
      </c>
    </row>
    <row r="14" spans="2:15" x14ac:dyDescent="0.25">
      <c r="B14" s="225"/>
      <c r="C14" s="225">
        <v>1</v>
      </c>
      <c r="D14" s="241"/>
      <c r="E14" s="242"/>
      <c r="F14" s="40" t="str">
        <f>IFERROR(VLOOKUP(B14,'Productos '!B:G,3,FALSE)," ")</f>
        <v xml:space="preserve"> </v>
      </c>
      <c r="G14" s="40" t="str">
        <f t="shared" ref="G14:G21" si="0">IFERROR((F14*C14)," ")</f>
        <v xml:space="preserve"> </v>
      </c>
    </row>
    <row r="15" spans="2:15" x14ac:dyDescent="0.25">
      <c r="B15" s="225"/>
      <c r="C15" s="225">
        <v>4</v>
      </c>
      <c r="D15" s="241"/>
      <c r="E15" s="242"/>
      <c r="F15" s="40" t="str">
        <f>IFERROR(VLOOKUP(B15,'Productos '!B:G,3,FALSE)," ")</f>
        <v xml:space="preserve"> </v>
      </c>
      <c r="G15" s="40" t="str">
        <f t="shared" si="0"/>
        <v xml:space="preserve"> </v>
      </c>
    </row>
    <row r="16" spans="2:15" x14ac:dyDescent="0.25">
      <c r="B16" s="225"/>
      <c r="C16" s="225"/>
      <c r="D16" s="241"/>
      <c r="E16" s="242"/>
      <c r="F16" s="40" t="str">
        <f>IFERROR(VLOOKUP(B16,'Productos '!B:G,3,FALSE)," ")</f>
        <v xml:space="preserve"> </v>
      </c>
      <c r="G16" s="40" t="str">
        <f t="shared" si="0"/>
        <v xml:space="preserve"> </v>
      </c>
    </row>
    <row r="17" spans="2:7" x14ac:dyDescent="0.25">
      <c r="B17" s="225"/>
      <c r="C17" s="225"/>
      <c r="D17" s="241"/>
      <c r="E17" s="242"/>
      <c r="F17" s="40" t="str">
        <f>IFERROR(VLOOKUP(B17,'Productos '!B:G,3,FALSE)," ")</f>
        <v xml:space="preserve"> </v>
      </c>
      <c r="G17" s="40" t="str">
        <f t="shared" si="0"/>
        <v xml:space="preserve"> </v>
      </c>
    </row>
    <row r="18" spans="2:7" x14ac:dyDescent="0.25">
      <c r="B18" s="225"/>
      <c r="C18" s="225"/>
      <c r="D18" s="241"/>
      <c r="E18" s="242"/>
      <c r="F18" s="40" t="str">
        <f>IFERROR(VLOOKUP(B18,'Productos '!B:G,3,FALSE)," ")</f>
        <v xml:space="preserve"> </v>
      </c>
      <c r="G18" s="40" t="str">
        <f t="shared" si="0"/>
        <v xml:space="preserve"> </v>
      </c>
    </row>
    <row r="19" spans="2:7" s="218" customFormat="1" x14ac:dyDescent="0.25">
      <c r="B19" s="225"/>
      <c r="C19" s="225"/>
      <c r="D19" s="241"/>
      <c r="E19" s="242"/>
      <c r="F19" s="40" t="str">
        <f>IFERROR(VLOOKUP(B19,'Productos '!B:G,3,FALSE)," ")</f>
        <v xml:space="preserve"> </v>
      </c>
      <c r="G19" s="40" t="str">
        <f t="shared" si="0"/>
        <v xml:space="preserve"> </v>
      </c>
    </row>
    <row r="20" spans="2:7" x14ac:dyDescent="0.25">
      <c r="B20" s="225"/>
      <c r="C20" s="225"/>
      <c r="D20" s="241" t="str">
        <f>IFERROR(VLOOKUP(B20,'Productos '!B:C,2,FALSE)," ")</f>
        <v xml:space="preserve"> </v>
      </c>
      <c r="E20" s="242"/>
      <c r="F20" s="40" t="str">
        <f>IFERROR(VLOOKUP(B20,'Productos '!B:G,3,FALSE)," ")</f>
        <v xml:space="preserve"> </v>
      </c>
      <c r="G20" s="40" t="str">
        <f t="shared" si="0"/>
        <v xml:space="preserve"> </v>
      </c>
    </row>
    <row r="21" spans="2:7" x14ac:dyDescent="0.25">
      <c r="B21" s="225"/>
      <c r="C21" s="225"/>
      <c r="D21" s="241" t="str">
        <f>IFERROR(VLOOKUP(B21,'Productos '!B:C,2,FALSE)," ")</f>
        <v xml:space="preserve"> </v>
      </c>
      <c r="E21" s="242"/>
      <c r="F21" s="40" t="str">
        <f>IFERROR(VLOOKUP(B21,'Productos '!B:G,3,FALSE)," ")</f>
        <v xml:space="preserve"> </v>
      </c>
      <c r="G21" s="40" t="str">
        <f t="shared" si="0"/>
        <v xml:space="preserve"> </v>
      </c>
    </row>
    <row r="22" spans="2:7" x14ac:dyDescent="0.25">
      <c r="C22" s="224">
        <f>SUM(C14:C21)</f>
        <v>5</v>
      </c>
      <c r="D22" s="253" t="s">
        <v>88</v>
      </c>
      <c r="E22" s="254"/>
      <c r="F22" s="32" t="s">
        <v>89</v>
      </c>
      <c r="G22" s="40">
        <f>SUM(G14:G21)</f>
        <v>0</v>
      </c>
    </row>
    <row r="23" spans="2:7" x14ac:dyDescent="0.25">
      <c r="F23" s="32" t="s">
        <v>90</v>
      </c>
      <c r="G23" s="40">
        <f>G22*16%</f>
        <v>0</v>
      </c>
    </row>
    <row r="24" spans="2:7" x14ac:dyDescent="0.25">
      <c r="B24" s="32" t="s">
        <v>91</v>
      </c>
      <c r="C24" s="241" t="str">
        <f>IFERROR(VLOOKUP(D4,'DATOS REGISTRADOS'!B:R,17,FALSE)," ")</f>
        <v xml:space="preserve"> </v>
      </c>
      <c r="D24" s="252"/>
      <c r="E24" s="242"/>
      <c r="F24" s="32" t="s">
        <v>57</v>
      </c>
      <c r="G24" s="68">
        <f>SUM(G22:G23)</f>
        <v>0</v>
      </c>
    </row>
    <row r="25" spans="2:7" x14ac:dyDescent="0.25">
      <c r="B25" s="245" t="s">
        <v>343</v>
      </c>
      <c r="C25" s="245"/>
      <c r="D25" s="245"/>
      <c r="E25" s="245"/>
      <c r="F25" s="245"/>
      <c r="G25" s="245"/>
    </row>
    <row r="26" spans="2:7" x14ac:dyDescent="0.25">
      <c r="B26" s="246" t="s">
        <v>124</v>
      </c>
      <c r="C26" s="247"/>
      <c r="D26" s="247"/>
      <c r="E26" s="247"/>
      <c r="F26" s="247"/>
      <c r="G26" s="248"/>
    </row>
    <row r="27" spans="2:7" x14ac:dyDescent="0.25">
      <c r="B27" s="54" t="s">
        <v>123</v>
      </c>
      <c r="C27" s="55"/>
      <c r="D27" s="245" t="s">
        <v>128</v>
      </c>
      <c r="E27" s="245"/>
      <c r="F27" s="245"/>
      <c r="G27" s="245"/>
    </row>
  </sheetData>
  <sheetProtection selectLockedCells="1"/>
  <mergeCells count="22">
    <mergeCell ref="C2:D3"/>
    <mergeCell ref="D18:E18"/>
    <mergeCell ref="D20:E20"/>
    <mergeCell ref="C24:E24"/>
    <mergeCell ref="D21:E21"/>
    <mergeCell ref="D22:E22"/>
    <mergeCell ref="D14:E14"/>
    <mergeCell ref="D15:E15"/>
    <mergeCell ref="D16:E16"/>
    <mergeCell ref="D17:E17"/>
    <mergeCell ref="B6:G6"/>
    <mergeCell ref="C7:G7"/>
    <mergeCell ref="C8:D8"/>
    <mergeCell ref="F8:G8"/>
    <mergeCell ref="B12:G12"/>
    <mergeCell ref="F2:G2"/>
    <mergeCell ref="D19:E19"/>
    <mergeCell ref="C9:D10"/>
    <mergeCell ref="D27:G27"/>
    <mergeCell ref="B25:G25"/>
    <mergeCell ref="B26:G26"/>
    <mergeCell ref="D13:E13"/>
  </mergeCells>
  <pageMargins left="0.70866141732283472" right="0.70866141732283472" top="0" bottom="0.74803149606299213" header="0.31496062992125984" footer="0.31496062992125984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S120"/>
  <sheetViews>
    <sheetView tabSelected="1" topLeftCell="N1" zoomScale="62" zoomScaleNormal="62" workbookViewId="0">
      <selection activeCell="S4" sqref="A4:S4"/>
    </sheetView>
  </sheetViews>
  <sheetFormatPr baseColWidth="10" defaultColWidth="11.42578125" defaultRowHeight="15" x14ac:dyDescent="0.25"/>
  <cols>
    <col min="1" max="1" width="11.42578125" style="1"/>
    <col min="2" max="2" width="18.85546875" style="1" customWidth="1"/>
    <col min="3" max="3" width="44.5703125" style="1" customWidth="1"/>
    <col min="4" max="4" width="25.7109375" style="1" customWidth="1"/>
    <col min="5" max="5" width="39.7109375" style="1" customWidth="1"/>
    <col min="6" max="6" width="34.28515625" style="1" customWidth="1"/>
    <col min="7" max="7" width="16.85546875" style="1" customWidth="1"/>
    <col min="8" max="8" width="27" style="1" customWidth="1"/>
    <col min="9" max="9" width="27" style="51" customWidth="1"/>
    <col min="10" max="10" width="23.28515625" style="1" customWidth="1"/>
    <col min="11" max="11" width="30" style="1" customWidth="1"/>
    <col min="12" max="12" width="22" style="1" customWidth="1"/>
    <col min="13" max="13" width="26.7109375" style="1" customWidth="1"/>
    <col min="14" max="14" width="28.28515625" style="18" customWidth="1"/>
    <col min="15" max="15" width="29" style="59" customWidth="1"/>
    <col min="16" max="16" width="32.28515625" style="1" customWidth="1"/>
    <col min="17" max="17" width="26.5703125" style="1" customWidth="1"/>
    <col min="18" max="18" width="29.28515625" style="1" customWidth="1"/>
    <col min="19" max="19" width="14.7109375" style="1" customWidth="1"/>
    <col min="20" max="16384" width="11.42578125" style="1"/>
  </cols>
  <sheetData>
    <row r="2" spans="1:19" x14ac:dyDescent="0.25">
      <c r="B2" s="1" t="s">
        <v>92</v>
      </c>
      <c r="C2" s="1" t="s">
        <v>93</v>
      </c>
      <c r="D2" s="1" t="s">
        <v>94</v>
      </c>
      <c r="E2" s="1" t="s">
        <v>95</v>
      </c>
      <c r="F2" s="1" t="s">
        <v>96</v>
      </c>
      <c r="G2" s="1" t="s">
        <v>97</v>
      </c>
      <c r="H2" s="1" t="s">
        <v>98</v>
      </c>
      <c r="I2" s="51" t="s">
        <v>99</v>
      </c>
      <c r="J2" s="1" t="s">
        <v>100</v>
      </c>
      <c r="K2" s="1" t="s">
        <v>101</v>
      </c>
      <c r="L2" s="1" t="s">
        <v>102</v>
      </c>
      <c r="M2" s="1" t="s">
        <v>103</v>
      </c>
      <c r="N2" s="1" t="s">
        <v>104</v>
      </c>
      <c r="O2" s="59" t="s">
        <v>105</v>
      </c>
      <c r="P2" s="1" t="s">
        <v>106</v>
      </c>
      <c r="Q2" s="1" t="s">
        <v>135</v>
      </c>
      <c r="R2" s="1" t="s">
        <v>136</v>
      </c>
    </row>
    <row r="3" spans="1:19" ht="18.75" x14ac:dyDescent="0.25">
      <c r="B3" s="2" t="s">
        <v>23</v>
      </c>
      <c r="C3" s="2" t="s">
        <v>0</v>
      </c>
      <c r="D3" s="3" t="s">
        <v>1</v>
      </c>
      <c r="E3" s="3" t="s">
        <v>2</v>
      </c>
      <c r="F3" s="3" t="s">
        <v>3</v>
      </c>
      <c r="G3" s="3" t="s">
        <v>14</v>
      </c>
      <c r="H3" s="3" t="s">
        <v>4</v>
      </c>
      <c r="I3" s="3" t="s">
        <v>134</v>
      </c>
      <c r="J3" s="3" t="s">
        <v>5</v>
      </c>
      <c r="K3" s="3" t="s">
        <v>6</v>
      </c>
      <c r="L3" s="3" t="s">
        <v>7</v>
      </c>
      <c r="M3" s="3" t="s">
        <v>8</v>
      </c>
      <c r="N3" s="3" t="s">
        <v>9</v>
      </c>
      <c r="O3" s="60" t="s">
        <v>444</v>
      </c>
      <c r="P3" s="3" t="s">
        <v>443</v>
      </c>
      <c r="Q3" s="3" t="s">
        <v>13</v>
      </c>
      <c r="R3" s="3" t="s">
        <v>12</v>
      </c>
      <c r="S3" s="3" t="s">
        <v>137</v>
      </c>
    </row>
    <row r="4" spans="1:19" s="230" customFormat="1" x14ac:dyDescent="0.25">
      <c r="A4" s="279"/>
      <c r="B4" s="280">
        <v>70</v>
      </c>
      <c r="C4" s="286" t="s">
        <v>474</v>
      </c>
      <c r="D4" s="287" t="s">
        <v>475</v>
      </c>
      <c r="E4" s="280" t="s">
        <v>476</v>
      </c>
      <c r="F4" s="280" t="s">
        <v>477</v>
      </c>
      <c r="G4" s="280">
        <v>88136</v>
      </c>
      <c r="H4" s="280">
        <v>8116756308</v>
      </c>
      <c r="I4" s="282" t="s">
        <v>478</v>
      </c>
      <c r="J4" s="282" t="s">
        <v>205</v>
      </c>
      <c r="K4" s="283"/>
      <c r="L4" s="280"/>
      <c r="M4" s="280"/>
      <c r="N4" s="280"/>
      <c r="O4" s="280">
        <f>IFERROR(VLOOKUP(P4,'DATOS REGISTRADOS'!B:Q,16,FALSE)," ")</f>
        <v>10</v>
      </c>
      <c r="P4" s="280">
        <f>IFERROR(VLOOKUP(Q4,'DATOS REGISTRADOS'!B:Q,16,FALSE)," ")</f>
        <v>11</v>
      </c>
      <c r="Q4" s="280">
        <v>15</v>
      </c>
      <c r="R4" s="284" t="str">
        <f>VLOOKUP(Q4,'DATOS REGISTRADOS'!B:C,2,FALSE)</f>
        <v>Celia Salazar Soto</v>
      </c>
      <c r="S4" s="280">
        <v>70</v>
      </c>
    </row>
    <row r="5" spans="1:19" s="223" customFormat="1" x14ac:dyDescent="0.25">
      <c r="A5" s="279"/>
      <c r="B5" s="280">
        <v>69</v>
      </c>
      <c r="C5" s="286" t="s">
        <v>469</v>
      </c>
      <c r="D5" s="287" t="s">
        <v>470</v>
      </c>
      <c r="E5" s="280" t="s">
        <v>471</v>
      </c>
      <c r="F5" s="280" t="s">
        <v>157</v>
      </c>
      <c r="G5" s="280">
        <v>67200</v>
      </c>
      <c r="H5" s="280">
        <v>8126634724</v>
      </c>
      <c r="I5" s="282" t="s">
        <v>472</v>
      </c>
      <c r="J5" s="282" t="s">
        <v>205</v>
      </c>
      <c r="K5" s="283"/>
      <c r="L5" s="280"/>
      <c r="M5" s="280"/>
      <c r="N5" s="280"/>
      <c r="O5" s="280">
        <f>IFERROR(VLOOKUP(P5,'DATOS REGISTRADOS'!B:Q,16,FALSE)," ")</f>
        <v>1</v>
      </c>
      <c r="P5" s="280">
        <f>IFERROR(VLOOKUP(Q5,'DATOS REGISTRADOS'!B:Q,16,FALSE)," ")</f>
        <v>1</v>
      </c>
      <c r="Q5" s="280">
        <v>1</v>
      </c>
      <c r="R5" s="284" t="str">
        <f>VLOOKUP(Q5,'DATOS REGISTRADOS'!B:C,2,FALSE)</f>
        <v>LIN LIFE</v>
      </c>
      <c r="S5" s="280">
        <v>69</v>
      </c>
    </row>
    <row r="6" spans="1:19" s="218" customFormat="1" x14ac:dyDescent="0.25">
      <c r="A6" s="279"/>
      <c r="B6" s="280">
        <v>68</v>
      </c>
      <c r="C6" s="286" t="s">
        <v>445</v>
      </c>
      <c r="D6" s="287" t="s">
        <v>449</v>
      </c>
      <c r="E6" s="280" t="s">
        <v>447</v>
      </c>
      <c r="F6" s="280" t="s">
        <v>448</v>
      </c>
      <c r="G6" s="280">
        <v>27985</v>
      </c>
      <c r="H6" s="280">
        <v>8421014216</v>
      </c>
      <c r="I6" s="282" t="s">
        <v>446</v>
      </c>
      <c r="J6" s="282" t="s">
        <v>205</v>
      </c>
      <c r="K6" s="283"/>
      <c r="L6" s="280"/>
      <c r="M6" s="280"/>
      <c r="N6" s="280"/>
      <c r="O6" s="280">
        <f>IFERROR(VLOOKUP(P6,'DATOS REGISTRADOS'!B:Q,16,FALSE)," ")</f>
        <v>30</v>
      </c>
      <c r="P6" s="280">
        <f>IFERROR(VLOOKUP(Q6,'DATOS REGISTRADOS'!B:Q,16,FALSE)," ")</f>
        <v>35</v>
      </c>
      <c r="Q6" s="280">
        <v>45</v>
      </c>
      <c r="R6" s="284" t="str">
        <f>VLOOKUP(Q6,'DATOS REGISTRADOS'!B:C,2,FALSE)</f>
        <v>Maria de la  Luz Solis Sandoval</v>
      </c>
      <c r="S6" s="280">
        <v>68</v>
      </c>
    </row>
    <row r="7" spans="1:19" s="215" customFormat="1" x14ac:dyDescent="0.25">
      <c r="A7" s="279"/>
      <c r="B7" s="280">
        <v>67</v>
      </c>
      <c r="C7" s="281" t="s">
        <v>139</v>
      </c>
      <c r="D7" s="280" t="s">
        <v>140</v>
      </c>
      <c r="E7" s="280" t="s">
        <v>141</v>
      </c>
      <c r="F7" s="280" t="s">
        <v>142</v>
      </c>
      <c r="G7" s="280">
        <v>60950</v>
      </c>
      <c r="H7" s="280">
        <v>7531526506</v>
      </c>
      <c r="I7" s="282"/>
      <c r="J7" s="282" t="s">
        <v>143</v>
      </c>
      <c r="K7" s="283">
        <v>20622</v>
      </c>
      <c r="L7" s="280"/>
      <c r="M7" s="280"/>
      <c r="N7" s="280"/>
      <c r="O7" s="280">
        <f>IFERROR(VLOOKUP(P7,'DATOS REGISTRADOS'!B:Q,16,FALSE)," ")</f>
        <v>1</v>
      </c>
      <c r="P7" s="280">
        <f>IFERROR(VLOOKUP(Q7,'DATOS REGISTRADOS'!B:Q,16,FALSE)," ")</f>
        <v>1</v>
      </c>
      <c r="Q7" s="280">
        <v>1</v>
      </c>
      <c r="R7" s="284" t="str">
        <f>VLOOKUP(Q7,'DATOS REGISTRADOS'!B:C,2,FALSE)</f>
        <v>LIN LIFE</v>
      </c>
      <c r="S7" s="280">
        <v>67</v>
      </c>
    </row>
    <row r="8" spans="1:19" s="215" customFormat="1" x14ac:dyDescent="0.25">
      <c r="A8" s="279"/>
      <c r="B8" s="280">
        <v>66</v>
      </c>
      <c r="C8" s="286" t="s">
        <v>436</v>
      </c>
      <c r="D8" s="287" t="s">
        <v>440</v>
      </c>
      <c r="E8" s="280" t="s">
        <v>438</v>
      </c>
      <c r="F8" s="280" t="s">
        <v>439</v>
      </c>
      <c r="G8" s="280" t="s">
        <v>441</v>
      </c>
      <c r="H8" s="280">
        <v>8110251309</v>
      </c>
      <c r="I8" s="282" t="s">
        <v>437</v>
      </c>
      <c r="J8" s="282"/>
      <c r="K8" s="283"/>
      <c r="L8" s="280"/>
      <c r="M8" s="280"/>
      <c r="N8" s="280"/>
      <c r="O8" s="280">
        <f>IFERROR(VLOOKUP(P8,'DATOS REGISTRADOS'!B:Q,16,FALSE)," ")</f>
        <v>15</v>
      </c>
      <c r="P8" s="280">
        <f>IFERROR(VLOOKUP(Q8,'DATOS REGISTRADOS'!B:Q,16,FALSE)," ")</f>
        <v>30</v>
      </c>
      <c r="Q8" s="280">
        <v>36</v>
      </c>
      <c r="R8" s="284" t="str">
        <f>VLOOKUP(Q8,'DATOS REGISTRADOS'!B:C,2,FALSE)</f>
        <v>Maria del Carmen Segura Aguilar</v>
      </c>
      <c r="S8" s="280">
        <v>66</v>
      </c>
    </row>
    <row r="9" spans="1:19" s="215" customFormat="1" x14ac:dyDescent="0.25">
      <c r="A9" s="279"/>
      <c r="B9" s="280">
        <v>65</v>
      </c>
      <c r="C9" s="286" t="s">
        <v>431</v>
      </c>
      <c r="D9" s="287" t="s">
        <v>434</v>
      </c>
      <c r="E9" s="280" t="s">
        <v>435</v>
      </c>
      <c r="F9" s="280" t="s">
        <v>433</v>
      </c>
      <c r="G9" s="280">
        <v>67169</v>
      </c>
      <c r="H9" s="280">
        <v>8182589256</v>
      </c>
      <c r="I9" s="282" t="s">
        <v>432</v>
      </c>
      <c r="J9" s="282" t="s">
        <v>205</v>
      </c>
      <c r="K9" s="283"/>
      <c r="L9" s="280"/>
      <c r="M9" s="280"/>
      <c r="N9" s="280"/>
      <c r="O9" s="280">
        <f>IFERROR(VLOOKUP(P9,'DATOS REGISTRADOS'!B:Q,16,FALSE)," ")</f>
        <v>30</v>
      </c>
      <c r="P9" s="280">
        <f>IFERROR(VLOOKUP(Q9,'DATOS REGISTRADOS'!B:Q,16,FALSE)," ")</f>
        <v>35</v>
      </c>
      <c r="Q9" s="280">
        <v>45</v>
      </c>
      <c r="R9" s="284" t="str">
        <f>VLOOKUP(Q9,'DATOS REGISTRADOS'!B:C,2,FALSE)</f>
        <v>Maria de la  Luz Solis Sandoval</v>
      </c>
      <c r="S9" s="280">
        <v>65</v>
      </c>
    </row>
    <row r="10" spans="1:19" s="215" customFormat="1" x14ac:dyDescent="0.25">
      <c r="A10" s="279"/>
      <c r="B10" s="280">
        <v>64</v>
      </c>
      <c r="C10" s="286" t="s">
        <v>426</v>
      </c>
      <c r="D10" s="287" t="s">
        <v>427</v>
      </c>
      <c r="E10" s="280" t="s">
        <v>428</v>
      </c>
      <c r="F10" s="280" t="s">
        <v>165</v>
      </c>
      <c r="G10" s="280">
        <v>66612</v>
      </c>
      <c r="H10" s="280" t="s">
        <v>429</v>
      </c>
      <c r="I10" s="282" t="s">
        <v>430</v>
      </c>
      <c r="J10" s="282" t="s">
        <v>205</v>
      </c>
      <c r="K10" s="283"/>
      <c r="L10" s="280"/>
      <c r="M10" s="280"/>
      <c r="N10" s="280"/>
      <c r="O10" s="280">
        <f>IFERROR(VLOOKUP(P10,'DATOS REGISTRADOS'!B:Q,16,FALSE)," ")</f>
        <v>23</v>
      </c>
      <c r="P10" s="280">
        <f>IFERROR(VLOOKUP(Q10,'DATOS REGISTRADOS'!B:Q,16,FALSE)," ")</f>
        <v>32</v>
      </c>
      <c r="Q10" s="280">
        <v>42</v>
      </c>
      <c r="R10" s="284" t="str">
        <f>VLOOKUP(Q10,'DATOS REGISTRADOS'!B:C,2,FALSE)</f>
        <v>Martin Valentin Lazaro</v>
      </c>
      <c r="S10" s="280">
        <v>64</v>
      </c>
    </row>
    <row r="11" spans="1:19" s="214" customFormat="1" x14ac:dyDescent="0.25">
      <c r="A11" s="279"/>
      <c r="B11" s="280">
        <v>63</v>
      </c>
      <c r="C11" s="286" t="s">
        <v>425</v>
      </c>
      <c r="D11" s="287" t="s">
        <v>422</v>
      </c>
      <c r="E11" s="280" t="s">
        <v>423</v>
      </c>
      <c r="F11" s="280" t="s">
        <v>424</v>
      </c>
      <c r="G11" s="280">
        <v>67110</v>
      </c>
      <c r="H11" s="280">
        <v>8110539431</v>
      </c>
      <c r="I11" s="282" t="s">
        <v>421</v>
      </c>
      <c r="J11" s="282" t="s">
        <v>416</v>
      </c>
      <c r="K11" s="283"/>
      <c r="L11" s="280"/>
      <c r="M11" s="280"/>
      <c r="N11" s="280"/>
      <c r="O11" s="280">
        <f>IFERROR(VLOOKUP(P11,'DATOS REGISTRADOS'!B:Q,16,FALSE)," ")</f>
        <v>10</v>
      </c>
      <c r="P11" s="280">
        <f>IFERROR(VLOOKUP(Q11,'DATOS REGISTRADOS'!B:Q,16,FALSE)," ")</f>
        <v>11</v>
      </c>
      <c r="Q11" s="280">
        <v>23</v>
      </c>
      <c r="R11" s="284" t="str">
        <f>VLOOKUP(Q11,'DATOS REGISTRADOS'!B:C,2,FALSE)</f>
        <v>Bertha Vázquez</v>
      </c>
      <c r="S11" s="280">
        <v>63</v>
      </c>
    </row>
    <row r="12" spans="1:19" s="198" customFormat="1" x14ac:dyDescent="0.25">
      <c r="A12" s="279"/>
      <c r="B12" s="280">
        <v>62</v>
      </c>
      <c r="C12" s="286" t="s">
        <v>417</v>
      </c>
      <c r="D12" s="287" t="s">
        <v>418</v>
      </c>
      <c r="E12" s="280" t="s">
        <v>419</v>
      </c>
      <c r="F12" s="280" t="s">
        <v>267</v>
      </c>
      <c r="G12" s="280">
        <v>66647</v>
      </c>
      <c r="H12" s="280">
        <v>8111378819</v>
      </c>
      <c r="I12" s="282" t="s">
        <v>420</v>
      </c>
      <c r="J12" s="282" t="s">
        <v>416</v>
      </c>
      <c r="K12" s="283"/>
      <c r="L12" s="280"/>
      <c r="M12" s="280"/>
      <c r="N12" s="280"/>
      <c r="O12" s="280">
        <f>IFERROR(VLOOKUP(P12,'DATOS REGISTRADOS'!B:Q,16,FALSE)," ")</f>
        <v>35</v>
      </c>
      <c r="P12" s="280">
        <f>IFERROR(VLOOKUP(Q12,'DATOS REGISTRADOS'!B:Q,16,FALSE)," ")</f>
        <v>45</v>
      </c>
      <c r="Q12" s="280">
        <v>53</v>
      </c>
      <c r="R12" s="284" t="str">
        <f>VLOOKUP(Q12,'DATOS REGISTRADOS'!B:C,2,FALSE)</f>
        <v xml:space="preserve"> Maria Elena Cantu Gonzalez</v>
      </c>
      <c r="S12" s="280">
        <v>62</v>
      </c>
    </row>
    <row r="13" spans="1:19" s="198" customFormat="1" x14ac:dyDescent="0.25">
      <c r="A13" s="279"/>
      <c r="B13" s="280">
        <v>61</v>
      </c>
      <c r="C13" s="286" t="s">
        <v>412</v>
      </c>
      <c r="D13" s="287" t="s">
        <v>414</v>
      </c>
      <c r="E13" s="280" t="s">
        <v>413</v>
      </c>
      <c r="F13" s="280" t="s">
        <v>267</v>
      </c>
      <c r="G13" s="280">
        <v>66644</v>
      </c>
      <c r="H13" s="280">
        <v>8117056953</v>
      </c>
      <c r="I13" s="282" t="s">
        <v>415</v>
      </c>
      <c r="J13" s="282" t="s">
        <v>416</v>
      </c>
      <c r="K13" s="283"/>
      <c r="L13" s="280"/>
      <c r="M13" s="280"/>
      <c r="N13" s="280"/>
      <c r="O13" s="280">
        <f>IFERROR(VLOOKUP(P13,'DATOS REGISTRADOS'!B:Q,16,FALSE)," ")</f>
        <v>15</v>
      </c>
      <c r="P13" s="280">
        <f>IFERROR(VLOOKUP(Q13,'DATOS REGISTRADOS'!B:Q,16,FALSE)," ")</f>
        <v>30</v>
      </c>
      <c r="Q13" s="280">
        <v>38</v>
      </c>
      <c r="R13" s="284" t="str">
        <f>VLOOKUP(Q13,'DATOS REGISTRADOS'!B:C,2,FALSE)</f>
        <v>Maria Guadalupe Lozano Vazquez</v>
      </c>
      <c r="S13" s="280">
        <v>61</v>
      </c>
    </row>
    <row r="14" spans="1:19" s="188" customFormat="1" x14ac:dyDescent="0.25">
      <c r="A14" s="279"/>
      <c r="B14" s="280">
        <v>60</v>
      </c>
      <c r="C14" s="286" t="s">
        <v>407</v>
      </c>
      <c r="D14" s="287" t="s">
        <v>409</v>
      </c>
      <c r="E14" s="280" t="s">
        <v>410</v>
      </c>
      <c r="F14" s="280" t="s">
        <v>411</v>
      </c>
      <c r="G14" s="280">
        <v>79710</v>
      </c>
      <c r="H14" s="280">
        <v>4811563023</v>
      </c>
      <c r="I14" s="282" t="s">
        <v>408</v>
      </c>
      <c r="J14" s="282"/>
      <c r="K14" s="283"/>
      <c r="L14" s="280"/>
      <c r="M14" s="280"/>
      <c r="N14" s="280"/>
      <c r="O14" s="280">
        <f>IFERROR(VLOOKUP(P14,'DATOS REGISTRADOS'!B:Q,16,FALSE)," ")</f>
        <v>15</v>
      </c>
      <c r="P14" s="280">
        <f>IFERROR(VLOOKUP(Q14,'DATOS REGISTRADOS'!B:Q,16,FALSE)," ")</f>
        <v>30</v>
      </c>
      <c r="Q14" s="280">
        <v>36</v>
      </c>
      <c r="R14" s="284" t="str">
        <f>VLOOKUP(Q14,'DATOS REGISTRADOS'!B:C,2,FALSE)</f>
        <v>Maria del Carmen Segura Aguilar</v>
      </c>
      <c r="S14" s="280">
        <v>60</v>
      </c>
    </row>
    <row r="15" spans="1:19" s="188" customFormat="1" x14ac:dyDescent="0.25">
      <c r="A15" s="279"/>
      <c r="B15" s="280">
        <v>59</v>
      </c>
      <c r="C15" s="286" t="s">
        <v>402</v>
      </c>
      <c r="D15" s="280" t="s">
        <v>406</v>
      </c>
      <c r="E15" s="280" t="s">
        <v>404</v>
      </c>
      <c r="F15" s="280" t="s">
        <v>405</v>
      </c>
      <c r="G15" s="280">
        <v>52910</v>
      </c>
      <c r="H15" s="280">
        <v>5535832639</v>
      </c>
      <c r="I15" s="282" t="s">
        <v>403</v>
      </c>
      <c r="J15" s="282" t="s">
        <v>274</v>
      </c>
      <c r="K15" s="283"/>
      <c r="L15" s="280"/>
      <c r="M15" s="280"/>
      <c r="N15" s="280"/>
      <c r="O15" s="280">
        <f>IFERROR(VLOOKUP(P15,'DATOS REGISTRADOS'!B:Q,16,FALSE)," ")</f>
        <v>15</v>
      </c>
      <c r="P15" s="280">
        <f>IFERROR(VLOOKUP(Q15,'DATOS REGISTRADOS'!B:Q,16,FALSE)," ")</f>
        <v>30</v>
      </c>
      <c r="Q15" s="280">
        <v>36</v>
      </c>
      <c r="R15" s="284" t="str">
        <f>VLOOKUP(Q15,'DATOS REGISTRADOS'!B:C,2,FALSE)</f>
        <v>Maria del Carmen Segura Aguilar</v>
      </c>
      <c r="S15" s="280">
        <v>59</v>
      </c>
    </row>
    <row r="16" spans="1:19" s="188" customFormat="1" x14ac:dyDescent="0.25">
      <c r="A16" s="279"/>
      <c r="B16" s="280">
        <v>58</v>
      </c>
      <c r="C16" s="286" t="s">
        <v>398</v>
      </c>
      <c r="D16" s="280" t="s">
        <v>400</v>
      </c>
      <c r="E16" s="280" t="s">
        <v>401</v>
      </c>
      <c r="F16" s="280" t="s">
        <v>165</v>
      </c>
      <c r="G16" s="280">
        <v>66650</v>
      </c>
      <c r="H16" s="280">
        <v>8110091579</v>
      </c>
      <c r="I16" s="282" t="s">
        <v>399</v>
      </c>
      <c r="J16" s="282"/>
      <c r="K16" s="283"/>
      <c r="L16" s="280"/>
      <c r="M16" s="280"/>
      <c r="N16" s="280"/>
      <c r="O16" s="280">
        <f>IFERROR(VLOOKUP(P16,'DATOS REGISTRADOS'!B:Q,16,FALSE)," ")</f>
        <v>10</v>
      </c>
      <c r="P16" s="280">
        <f>IFERROR(VLOOKUP(Q16,'DATOS REGISTRADOS'!B:Q,16,FALSE)," ")</f>
        <v>11</v>
      </c>
      <c r="Q16" s="280">
        <v>15</v>
      </c>
      <c r="R16" s="284" t="str">
        <f>VLOOKUP(Q16,'DATOS REGISTRADOS'!B:C,2,FALSE)</f>
        <v>Celia Salazar Soto</v>
      </c>
      <c r="S16" s="280">
        <v>58</v>
      </c>
    </row>
    <row r="17" spans="1:19" s="188" customFormat="1" x14ac:dyDescent="0.25">
      <c r="A17" s="279"/>
      <c r="B17" s="280">
        <v>57</v>
      </c>
      <c r="C17" s="286" t="s">
        <v>395</v>
      </c>
      <c r="D17" s="280" t="s">
        <v>396</v>
      </c>
      <c r="E17" s="280"/>
      <c r="F17" s="280" t="s">
        <v>239</v>
      </c>
      <c r="G17" s="280">
        <v>66647</v>
      </c>
      <c r="H17" s="280">
        <v>8124083143</v>
      </c>
      <c r="I17" s="282" t="s">
        <v>397</v>
      </c>
      <c r="J17" s="282"/>
      <c r="K17" s="283"/>
      <c r="L17" s="280"/>
      <c r="M17" s="280"/>
      <c r="N17" s="280"/>
      <c r="O17" s="280">
        <f>IFERROR(VLOOKUP(P17,'DATOS REGISTRADOS'!B:Q,16,FALSE)," ")</f>
        <v>15</v>
      </c>
      <c r="P17" s="280">
        <f>IFERROR(VLOOKUP(Q17,'DATOS REGISTRADOS'!B:Q,16,FALSE)," ")</f>
        <v>30</v>
      </c>
      <c r="Q17" s="280">
        <v>35</v>
      </c>
      <c r="R17" s="284" t="str">
        <f>VLOOKUP(Q17,'DATOS REGISTRADOS'!B:C,2,FALSE)</f>
        <v>Ezequiel Francisco Maldonado Martinez</v>
      </c>
      <c r="S17" s="280">
        <v>57</v>
      </c>
    </row>
    <row r="18" spans="1:19" s="188" customFormat="1" x14ac:dyDescent="0.25">
      <c r="A18" s="279"/>
      <c r="B18" s="280">
        <v>56</v>
      </c>
      <c r="C18" s="286" t="s">
        <v>392</v>
      </c>
      <c r="D18" s="280" t="s">
        <v>394</v>
      </c>
      <c r="E18" s="280"/>
      <c r="F18" s="280" t="s">
        <v>267</v>
      </c>
      <c r="G18" s="280">
        <v>66647</v>
      </c>
      <c r="H18" s="280">
        <v>8112518034</v>
      </c>
      <c r="I18" s="282" t="s">
        <v>393</v>
      </c>
      <c r="J18" s="282"/>
      <c r="K18" s="283"/>
      <c r="L18" s="280"/>
      <c r="M18" s="280"/>
      <c r="N18" s="280"/>
      <c r="O18" s="280">
        <f>IFERROR(VLOOKUP(P18,'DATOS REGISTRADOS'!B:Q,16,FALSE)," ")</f>
        <v>15</v>
      </c>
      <c r="P18" s="280">
        <f>IFERROR(VLOOKUP(Q18,'DATOS REGISTRADOS'!B:Q,16,FALSE)," ")</f>
        <v>30</v>
      </c>
      <c r="Q18" s="280">
        <v>36</v>
      </c>
      <c r="R18" s="284" t="str">
        <f>VLOOKUP(Q18,'DATOS REGISTRADOS'!B:C,2,FALSE)</f>
        <v>Maria del Carmen Segura Aguilar</v>
      </c>
      <c r="S18" s="280">
        <v>56</v>
      </c>
    </row>
    <row r="19" spans="1:19" s="188" customFormat="1" x14ac:dyDescent="0.25">
      <c r="A19" s="279"/>
      <c r="B19" s="280">
        <v>55</v>
      </c>
      <c r="C19" s="286" t="s">
        <v>389</v>
      </c>
      <c r="D19" s="280" t="s">
        <v>391</v>
      </c>
      <c r="E19" s="280"/>
      <c r="F19" s="280" t="s">
        <v>359</v>
      </c>
      <c r="G19" s="280">
        <v>64102</v>
      </c>
      <c r="H19" s="280">
        <v>8117610274</v>
      </c>
      <c r="I19" s="282" t="s">
        <v>390</v>
      </c>
      <c r="J19" s="282" t="s">
        <v>205</v>
      </c>
      <c r="K19" s="283"/>
      <c r="L19" s="280"/>
      <c r="M19" s="280"/>
      <c r="N19" s="280"/>
      <c r="O19" s="280">
        <f>IFERROR(VLOOKUP(P19,'DATOS REGISTRADOS'!B:Q,16,FALSE)," ")</f>
        <v>30</v>
      </c>
      <c r="P19" s="280">
        <f>IFERROR(VLOOKUP(Q19,'DATOS REGISTRADOS'!B:Q,16,FALSE)," ")</f>
        <v>35</v>
      </c>
      <c r="Q19" s="280">
        <v>51</v>
      </c>
      <c r="R19" s="284" t="str">
        <f>VLOOKUP(Q19,'DATOS REGISTRADOS'!B:C,2,FALSE)</f>
        <v>Patricia Malacara Soto</v>
      </c>
      <c r="S19" s="280">
        <v>55</v>
      </c>
    </row>
    <row r="20" spans="1:19" s="184" customFormat="1" x14ac:dyDescent="0.25">
      <c r="A20" s="279"/>
      <c r="B20" s="280">
        <v>54</v>
      </c>
      <c r="C20" s="286" t="s">
        <v>386</v>
      </c>
      <c r="D20" s="280" t="s">
        <v>388</v>
      </c>
      <c r="E20" s="280" t="s">
        <v>257</v>
      </c>
      <c r="F20" s="280" t="s">
        <v>258</v>
      </c>
      <c r="G20" s="280">
        <v>66072</v>
      </c>
      <c r="H20" s="280">
        <v>8127319013</v>
      </c>
      <c r="I20" s="282" t="s">
        <v>387</v>
      </c>
      <c r="J20" s="282" t="s">
        <v>205</v>
      </c>
      <c r="K20" s="283"/>
      <c r="L20" s="280"/>
      <c r="M20" s="280"/>
      <c r="N20" s="280"/>
      <c r="O20" s="280">
        <f>IFERROR(VLOOKUP(P20,'DATOS REGISTRADOS'!B:Q,16,FALSE)," ")</f>
        <v>11</v>
      </c>
      <c r="P20" s="280">
        <f>IFERROR(VLOOKUP(Q20,'DATOS REGISTRADOS'!B:Q,16,FALSE)," ")</f>
        <v>23</v>
      </c>
      <c r="Q20" s="280">
        <v>32</v>
      </c>
      <c r="R20" s="284" t="str">
        <f>VLOOKUP(Q20,'DATOS REGISTRADOS'!B:C,2,FALSE)</f>
        <v>Teresa Rivera Cortez</v>
      </c>
      <c r="S20" s="280">
        <v>54</v>
      </c>
    </row>
    <row r="21" spans="1:19" s="178" customFormat="1" x14ac:dyDescent="0.25">
      <c r="A21" s="279"/>
      <c r="B21" s="280">
        <v>53</v>
      </c>
      <c r="C21" s="286" t="s">
        <v>381</v>
      </c>
      <c r="D21" s="280" t="s">
        <v>382</v>
      </c>
      <c r="E21" s="280" t="s">
        <v>383</v>
      </c>
      <c r="F21" s="280" t="s">
        <v>384</v>
      </c>
      <c r="G21" s="280">
        <v>66647</v>
      </c>
      <c r="H21" s="280">
        <v>8130763933</v>
      </c>
      <c r="I21" s="282" t="s">
        <v>385</v>
      </c>
      <c r="J21" s="282" t="s">
        <v>205</v>
      </c>
      <c r="K21" s="283"/>
      <c r="L21" s="280"/>
      <c r="M21" s="280"/>
      <c r="N21" s="280"/>
      <c r="O21" s="280">
        <f>IFERROR(VLOOKUP(P21,'DATOS REGISTRADOS'!B:Q,16,FALSE)," ")</f>
        <v>30</v>
      </c>
      <c r="P21" s="280">
        <f>IFERROR(VLOOKUP(Q21,'DATOS REGISTRADOS'!B:Q,16,FALSE)," ")</f>
        <v>35</v>
      </c>
      <c r="Q21" s="280">
        <v>45</v>
      </c>
      <c r="R21" s="284" t="str">
        <f>VLOOKUP(Q21,'DATOS REGISTRADOS'!B:C,2,FALSE)</f>
        <v>Maria de la  Luz Solis Sandoval</v>
      </c>
      <c r="S21" s="280">
        <v>53</v>
      </c>
    </row>
    <row r="22" spans="1:19" s="158" customFormat="1" x14ac:dyDescent="0.25">
      <c r="A22" s="279"/>
      <c r="B22" s="280">
        <v>52</v>
      </c>
      <c r="C22" s="286" t="s">
        <v>367</v>
      </c>
      <c r="D22" s="280" t="s">
        <v>369</v>
      </c>
      <c r="E22" s="280" t="s">
        <v>370</v>
      </c>
      <c r="F22" s="280" t="s">
        <v>371</v>
      </c>
      <c r="G22" s="280">
        <v>66068</v>
      </c>
      <c r="H22" s="280">
        <v>8110188323</v>
      </c>
      <c r="I22" s="282" t="s">
        <v>368</v>
      </c>
      <c r="J22" s="282" t="s">
        <v>205</v>
      </c>
      <c r="K22" s="283"/>
      <c r="L22" s="280"/>
      <c r="M22" s="280"/>
      <c r="N22" s="280"/>
      <c r="O22" s="280">
        <f>IFERROR(VLOOKUP(P22,'DATOS REGISTRADOS'!B:Q,16,FALSE)," ")</f>
        <v>11</v>
      </c>
      <c r="P22" s="280">
        <f>IFERROR(VLOOKUP(Q22,'DATOS REGISTRADOS'!B:Q,16,FALSE)," ")</f>
        <v>23</v>
      </c>
      <c r="Q22" s="280">
        <v>32</v>
      </c>
      <c r="R22" s="284" t="str">
        <f>VLOOKUP(Q22,'DATOS REGISTRADOS'!B:C,2,FALSE)</f>
        <v>Teresa Rivera Cortez</v>
      </c>
      <c r="S22" s="280">
        <v>52</v>
      </c>
    </row>
    <row r="23" spans="1:19" s="158" customFormat="1" x14ac:dyDescent="0.25">
      <c r="A23" s="279"/>
      <c r="B23" s="280">
        <v>51</v>
      </c>
      <c r="C23" s="286" t="s">
        <v>364</v>
      </c>
      <c r="D23" s="280" t="s">
        <v>366</v>
      </c>
      <c r="E23" s="280" t="s">
        <v>239</v>
      </c>
      <c r="F23" s="280" t="s">
        <v>165</v>
      </c>
      <c r="G23" s="280">
        <v>66635</v>
      </c>
      <c r="H23" s="280">
        <v>8119598409</v>
      </c>
      <c r="I23" s="282" t="s">
        <v>365</v>
      </c>
      <c r="J23" s="282" t="s">
        <v>205</v>
      </c>
      <c r="K23" s="283"/>
      <c r="L23" s="280"/>
      <c r="M23" s="280"/>
      <c r="N23" s="280"/>
      <c r="O23" s="280">
        <f>IFERROR(VLOOKUP(P23,'DATOS REGISTRADOS'!B:Q,16,FALSE)," ")</f>
        <v>15</v>
      </c>
      <c r="P23" s="280">
        <f>IFERROR(VLOOKUP(Q23,'DATOS REGISTRADOS'!B:Q,16,FALSE)," ")</f>
        <v>30</v>
      </c>
      <c r="Q23" s="280">
        <v>35</v>
      </c>
      <c r="R23" s="284" t="str">
        <f>VLOOKUP(Q23,'DATOS REGISTRADOS'!B:C,2,FALSE)</f>
        <v>Ezequiel Francisco Maldonado Martinez</v>
      </c>
      <c r="S23" s="280">
        <v>51</v>
      </c>
    </row>
    <row r="24" spans="1:19" s="158" customFormat="1" x14ac:dyDescent="0.25">
      <c r="A24" s="279"/>
      <c r="B24" s="280">
        <v>50</v>
      </c>
      <c r="C24" s="286" t="s">
        <v>360</v>
      </c>
      <c r="D24" s="280" t="s">
        <v>362</v>
      </c>
      <c r="E24" s="280" t="s">
        <v>363</v>
      </c>
      <c r="F24" s="280" t="s">
        <v>267</v>
      </c>
      <c r="G24" s="280">
        <v>66647</v>
      </c>
      <c r="H24" s="280">
        <v>8125873720</v>
      </c>
      <c r="I24" s="282" t="s">
        <v>361</v>
      </c>
      <c r="J24" s="282" t="s">
        <v>205</v>
      </c>
      <c r="K24" s="283"/>
      <c r="L24" s="280"/>
      <c r="M24" s="280"/>
      <c r="N24" s="280"/>
      <c r="O24" s="280">
        <f>IFERROR(VLOOKUP(P24,'DATOS REGISTRADOS'!B:Q,16,FALSE)," ")</f>
        <v>15</v>
      </c>
      <c r="P24" s="280">
        <f>IFERROR(VLOOKUP(Q24,'DATOS REGISTRADOS'!B:Q,16,FALSE)," ")</f>
        <v>30</v>
      </c>
      <c r="Q24" s="280">
        <v>35</v>
      </c>
      <c r="R24" s="284" t="str">
        <f>VLOOKUP(Q24,'DATOS REGISTRADOS'!B:C,2,FALSE)</f>
        <v>Ezequiel Francisco Maldonado Martinez</v>
      </c>
      <c r="S24" s="280">
        <v>50</v>
      </c>
    </row>
    <row r="25" spans="1:19" s="158" customFormat="1" x14ac:dyDescent="0.25">
      <c r="A25" s="279"/>
      <c r="B25" s="280">
        <v>49</v>
      </c>
      <c r="C25" s="286" t="s">
        <v>355</v>
      </c>
      <c r="D25" s="280" t="s">
        <v>358</v>
      </c>
      <c r="E25" s="280" t="s">
        <v>357</v>
      </c>
      <c r="F25" s="280" t="s">
        <v>359</v>
      </c>
      <c r="G25" s="280">
        <v>66606</v>
      </c>
      <c r="H25" s="280">
        <v>8120267748</v>
      </c>
      <c r="I25" s="282" t="s">
        <v>356</v>
      </c>
      <c r="J25" s="282" t="s">
        <v>205</v>
      </c>
      <c r="K25" s="283"/>
      <c r="L25" s="280"/>
      <c r="M25" s="280"/>
      <c r="N25" s="280"/>
      <c r="O25" s="280">
        <f>IFERROR(VLOOKUP(P25,'DATOS REGISTRADOS'!B:Q,16,FALSE)," ")</f>
        <v>15</v>
      </c>
      <c r="P25" s="280">
        <f>IFERROR(VLOOKUP(Q25,'DATOS REGISTRADOS'!B:Q,16,FALSE)," ")</f>
        <v>30</v>
      </c>
      <c r="Q25" s="280">
        <v>35</v>
      </c>
      <c r="R25" s="284" t="str">
        <f>VLOOKUP(Q25,'DATOS REGISTRADOS'!B:C,2,FALSE)</f>
        <v>Ezequiel Francisco Maldonado Martinez</v>
      </c>
      <c r="S25" s="280">
        <v>49</v>
      </c>
    </row>
    <row r="26" spans="1:19" s="144" customFormat="1" x14ac:dyDescent="0.25">
      <c r="A26" s="279"/>
      <c r="B26" s="280">
        <v>48</v>
      </c>
      <c r="C26" s="286" t="s">
        <v>350</v>
      </c>
      <c r="D26" s="280" t="s">
        <v>353</v>
      </c>
      <c r="E26" s="280" t="s">
        <v>352</v>
      </c>
      <c r="F26" s="280" t="s">
        <v>165</v>
      </c>
      <c r="G26" s="280">
        <v>67175</v>
      </c>
      <c r="H26" s="280">
        <v>8115967690</v>
      </c>
      <c r="I26" s="282" t="s">
        <v>351</v>
      </c>
      <c r="J26" s="282" t="s">
        <v>205</v>
      </c>
      <c r="K26" s="283"/>
      <c r="L26" s="280"/>
      <c r="M26" s="280"/>
      <c r="N26" s="280"/>
      <c r="O26" s="280">
        <f>IFERROR(VLOOKUP(P26,'DATOS REGISTRADOS'!B:Q,16,FALSE)," ")</f>
        <v>15</v>
      </c>
      <c r="P26" s="280">
        <f>IFERROR(VLOOKUP(Q26,'DATOS REGISTRADOS'!B:Q,16,FALSE)," ")</f>
        <v>30</v>
      </c>
      <c r="Q26" s="280">
        <v>36</v>
      </c>
      <c r="R26" s="284" t="str">
        <f>VLOOKUP(Q26,'DATOS REGISTRADOS'!B:C,2,FALSE)</f>
        <v>Maria del Carmen Segura Aguilar</v>
      </c>
      <c r="S26" s="280">
        <v>48</v>
      </c>
    </row>
    <row r="27" spans="1:19" s="131" customFormat="1" x14ac:dyDescent="0.25">
      <c r="A27" s="279"/>
      <c r="B27" s="280">
        <v>47</v>
      </c>
      <c r="C27" s="286" t="s">
        <v>345</v>
      </c>
      <c r="D27" s="280" t="s">
        <v>347</v>
      </c>
      <c r="E27" s="280" t="s">
        <v>348</v>
      </c>
      <c r="F27" s="280" t="s">
        <v>267</v>
      </c>
      <c r="G27" s="280">
        <v>66747</v>
      </c>
      <c r="H27" s="280">
        <v>8122196062</v>
      </c>
      <c r="I27" s="282" t="s">
        <v>346</v>
      </c>
      <c r="J27" s="282" t="s">
        <v>205</v>
      </c>
      <c r="K27" s="283"/>
      <c r="L27" s="280"/>
      <c r="M27" s="280"/>
      <c r="N27" s="280"/>
      <c r="O27" s="280">
        <f>IFERROR(VLOOKUP(P27,'DATOS REGISTRADOS'!B:Q,16,FALSE)," ")</f>
        <v>10</v>
      </c>
      <c r="P27" s="280">
        <f>IFERROR(VLOOKUP(Q27,'DATOS REGISTRADOS'!B:Q,16,FALSE)," ")</f>
        <v>11</v>
      </c>
      <c r="Q27" s="280">
        <v>15</v>
      </c>
      <c r="R27" s="284" t="str">
        <f>VLOOKUP(Q27,'DATOS REGISTRADOS'!B:C,2,FALSE)</f>
        <v>Celia Salazar Soto</v>
      </c>
      <c r="S27" s="280">
        <v>47</v>
      </c>
    </row>
    <row r="28" spans="1:19" s="100" customFormat="1" x14ac:dyDescent="0.25">
      <c r="A28" s="279"/>
      <c r="B28" s="280">
        <v>46</v>
      </c>
      <c r="C28" s="286" t="s">
        <v>316</v>
      </c>
      <c r="D28" s="280" t="s">
        <v>319</v>
      </c>
      <c r="E28" s="280" t="s">
        <v>320</v>
      </c>
      <c r="F28" s="280" t="s">
        <v>258</v>
      </c>
      <c r="G28" s="280">
        <v>67194</v>
      </c>
      <c r="H28" s="280" t="s">
        <v>317</v>
      </c>
      <c r="I28" s="282" t="s">
        <v>318</v>
      </c>
      <c r="J28" s="282" t="s">
        <v>274</v>
      </c>
      <c r="K28" s="283"/>
      <c r="L28" s="280"/>
      <c r="M28" s="280"/>
      <c r="N28" s="280"/>
      <c r="O28" s="280">
        <f>IFERROR(VLOOKUP(P28,'DATOS REGISTRADOS'!B:Q,16,FALSE)," ")</f>
        <v>10</v>
      </c>
      <c r="P28" s="280">
        <f>IFERROR(VLOOKUP(Q28,'DATOS REGISTRADOS'!B:Q,16,FALSE)," ")</f>
        <v>11</v>
      </c>
      <c r="Q28" s="280">
        <v>23</v>
      </c>
      <c r="R28" s="284" t="str">
        <f>VLOOKUP(Q28,'DATOS REGISTRADOS'!B:C,2,FALSE)</f>
        <v>Bertha Vázquez</v>
      </c>
      <c r="S28" s="280">
        <v>46</v>
      </c>
    </row>
    <row r="29" spans="1:19" s="100" customFormat="1" x14ac:dyDescent="0.25">
      <c r="A29" s="279"/>
      <c r="B29" s="280">
        <v>45</v>
      </c>
      <c r="C29" s="286" t="s">
        <v>442</v>
      </c>
      <c r="D29" s="280" t="s">
        <v>314</v>
      </c>
      <c r="E29" s="280" t="s">
        <v>315</v>
      </c>
      <c r="F29" s="280" t="s">
        <v>165</v>
      </c>
      <c r="G29" s="280">
        <v>66647</v>
      </c>
      <c r="H29" s="280">
        <v>8114870699</v>
      </c>
      <c r="I29" s="282" t="s">
        <v>313</v>
      </c>
      <c r="J29" s="282" t="s">
        <v>205</v>
      </c>
      <c r="K29" s="283"/>
      <c r="L29" s="280"/>
      <c r="M29" s="280"/>
      <c r="N29" s="280"/>
      <c r="O29" s="280">
        <f>IFERROR(VLOOKUP(P29,'DATOS REGISTRADOS'!B:Q,16,FALSE)," ")</f>
        <v>15</v>
      </c>
      <c r="P29" s="280">
        <f>IFERROR(VLOOKUP(Q29,'DATOS REGISTRADOS'!B:Q,16,FALSE)," ")</f>
        <v>30</v>
      </c>
      <c r="Q29" s="280">
        <v>35</v>
      </c>
      <c r="R29" s="284" t="str">
        <f>VLOOKUP(Q29,'DATOS REGISTRADOS'!B:C,2,FALSE)</f>
        <v>Ezequiel Francisco Maldonado Martinez</v>
      </c>
      <c r="S29" s="280">
        <v>45</v>
      </c>
    </row>
    <row r="30" spans="1:19" s="100" customFormat="1" x14ac:dyDescent="0.25">
      <c r="A30" s="279"/>
      <c r="B30" s="280">
        <v>44</v>
      </c>
      <c r="C30" s="286" t="s">
        <v>309</v>
      </c>
      <c r="D30" s="280" t="s">
        <v>312</v>
      </c>
      <c r="E30" s="280" t="s">
        <v>273</v>
      </c>
      <c r="F30" s="280" t="s">
        <v>258</v>
      </c>
      <c r="G30" s="280">
        <v>66647</v>
      </c>
      <c r="H30" s="280" t="s">
        <v>310</v>
      </c>
      <c r="I30" s="282" t="s">
        <v>311</v>
      </c>
      <c r="J30" s="282" t="s">
        <v>274</v>
      </c>
      <c r="K30" s="283"/>
      <c r="L30" s="280"/>
      <c r="M30" s="280"/>
      <c r="N30" s="280"/>
      <c r="O30" s="280">
        <f>IFERROR(VLOOKUP(P30,'DATOS REGISTRADOS'!B:Q,16,FALSE)," ")</f>
        <v>11</v>
      </c>
      <c r="P30" s="280">
        <f>IFERROR(VLOOKUP(Q30,'DATOS REGISTRADOS'!B:Q,16,FALSE)," ")</f>
        <v>15</v>
      </c>
      <c r="Q30" s="280">
        <v>30</v>
      </c>
      <c r="R30" s="284" t="str">
        <f>VLOOKUP(Q30,'DATOS REGISTRADOS'!B:C,2,FALSE)</f>
        <v>Marina Concepcion Salazar Soto</v>
      </c>
      <c r="S30" s="280">
        <v>44</v>
      </c>
    </row>
    <row r="31" spans="1:19" s="100" customFormat="1" x14ac:dyDescent="0.25">
      <c r="A31" s="279"/>
      <c r="B31" s="280">
        <v>43</v>
      </c>
      <c r="C31" s="286" t="s">
        <v>304</v>
      </c>
      <c r="D31" s="280" t="s">
        <v>305</v>
      </c>
      <c r="E31" s="280" t="s">
        <v>306</v>
      </c>
      <c r="F31" s="280" t="s">
        <v>239</v>
      </c>
      <c r="G31" s="280">
        <v>66636</v>
      </c>
      <c r="H31" s="280" t="s">
        <v>307</v>
      </c>
      <c r="I31" s="282" t="s">
        <v>308</v>
      </c>
      <c r="J31" s="282" t="s">
        <v>199</v>
      </c>
      <c r="K31" s="283"/>
      <c r="L31" s="280"/>
      <c r="M31" s="280"/>
      <c r="N31" s="280"/>
      <c r="O31" s="280">
        <f>IFERROR(VLOOKUP(P31,'DATOS REGISTRADOS'!B:Q,16,FALSE)," ")</f>
        <v>11</v>
      </c>
      <c r="P31" s="280">
        <f>IFERROR(VLOOKUP(Q31,'DATOS REGISTRADOS'!B:Q,16,FALSE)," ")</f>
        <v>23</v>
      </c>
      <c r="Q31" s="280">
        <v>32</v>
      </c>
      <c r="R31" s="284" t="str">
        <f>VLOOKUP(Q31,'DATOS REGISTRADOS'!B:C,2,FALSE)</f>
        <v>Teresa Rivera Cortez</v>
      </c>
      <c r="S31" s="47">
        <v>43</v>
      </c>
    </row>
    <row r="32" spans="1:19" s="100" customFormat="1" x14ac:dyDescent="0.25">
      <c r="A32" s="279"/>
      <c r="B32" s="280">
        <v>42</v>
      </c>
      <c r="C32" s="286" t="s">
        <v>300</v>
      </c>
      <c r="D32" s="280" t="s">
        <v>302</v>
      </c>
      <c r="E32" s="280" t="s">
        <v>303</v>
      </c>
      <c r="F32" s="280" t="s">
        <v>165</v>
      </c>
      <c r="G32" s="280">
        <v>64000</v>
      </c>
      <c r="H32" s="280"/>
      <c r="I32" s="282" t="s">
        <v>301</v>
      </c>
      <c r="J32" s="282" t="s">
        <v>274</v>
      </c>
      <c r="K32" s="283"/>
      <c r="L32" s="280"/>
      <c r="M32" s="280"/>
      <c r="N32" s="280"/>
      <c r="O32" s="280">
        <f>IFERROR(VLOOKUP(P32,'DATOS REGISTRADOS'!B:Q,16,FALSE)," ")</f>
        <v>11</v>
      </c>
      <c r="P32" s="280">
        <f>IFERROR(VLOOKUP(Q32,'DATOS REGISTRADOS'!B:Q,16,FALSE)," ")</f>
        <v>23</v>
      </c>
      <c r="Q32" s="280">
        <v>32</v>
      </c>
      <c r="R32" s="284" t="str">
        <f>VLOOKUP(Q32,'DATOS REGISTRADOS'!B:C,2,FALSE)</f>
        <v>Teresa Rivera Cortez</v>
      </c>
      <c r="S32" s="280">
        <v>42</v>
      </c>
    </row>
    <row r="33" spans="1:19" s="100" customFormat="1" x14ac:dyDescent="0.25">
      <c r="A33" s="279"/>
      <c r="B33" s="280">
        <v>41</v>
      </c>
      <c r="C33" s="286" t="s">
        <v>297</v>
      </c>
      <c r="D33" s="280" t="s">
        <v>299</v>
      </c>
      <c r="E33" s="280" t="s">
        <v>267</v>
      </c>
      <c r="F33" s="280" t="s">
        <v>165</v>
      </c>
      <c r="G33" s="280">
        <v>66647</v>
      </c>
      <c r="H33" s="280">
        <v>8110377827</v>
      </c>
      <c r="I33" s="282" t="s">
        <v>298</v>
      </c>
      <c r="J33" s="282" t="s">
        <v>205</v>
      </c>
      <c r="K33" s="283"/>
      <c r="L33" s="280"/>
      <c r="M33" s="280"/>
      <c r="N33" s="280"/>
      <c r="O33" s="280">
        <f>IFERROR(VLOOKUP(P33,'DATOS REGISTRADOS'!B:Q,16,FALSE)," ")</f>
        <v>11</v>
      </c>
      <c r="P33" s="280">
        <f>IFERROR(VLOOKUP(Q33,'DATOS REGISTRADOS'!B:Q,16,FALSE)," ")</f>
        <v>15</v>
      </c>
      <c r="Q33" s="280">
        <v>30</v>
      </c>
      <c r="R33" s="284" t="str">
        <f>VLOOKUP(Q33,'DATOS REGISTRADOS'!B:C,2,FALSE)</f>
        <v>Marina Concepcion Salazar Soto</v>
      </c>
      <c r="S33" s="47">
        <v>41</v>
      </c>
    </row>
    <row r="34" spans="1:19" s="92" customFormat="1" x14ac:dyDescent="0.25">
      <c r="A34" s="279"/>
      <c r="B34" s="280">
        <v>40</v>
      </c>
      <c r="C34" s="286" t="s">
        <v>293</v>
      </c>
      <c r="D34" s="280" t="s">
        <v>295</v>
      </c>
      <c r="E34" s="280" t="s">
        <v>291</v>
      </c>
      <c r="F34" s="280" t="s">
        <v>292</v>
      </c>
      <c r="G34" s="280">
        <v>67778</v>
      </c>
      <c r="H34" s="280">
        <v>8211195572</v>
      </c>
      <c r="I34" s="282" t="s">
        <v>294</v>
      </c>
      <c r="J34" s="282" t="s">
        <v>199</v>
      </c>
      <c r="K34" s="283"/>
      <c r="L34" s="280"/>
      <c r="M34" s="280"/>
      <c r="N34" s="280"/>
      <c r="O34" s="280">
        <f>IFERROR(VLOOKUP(P34,'DATOS REGISTRADOS'!B:Q,16,FALSE)," ")</f>
        <v>10</v>
      </c>
      <c r="P34" s="280">
        <f>IFERROR(VLOOKUP(Q34,'DATOS REGISTRADOS'!B:Q,16,FALSE)," ")</f>
        <v>11</v>
      </c>
      <c r="Q34" s="280">
        <v>39</v>
      </c>
      <c r="R34" s="284" t="str">
        <f>VLOOKUP(Q34,'DATOS REGISTRADOS'!B:C,2,FALSE)</f>
        <v>Cruz Monsivais Alcala</v>
      </c>
      <c r="S34" s="280">
        <v>40</v>
      </c>
    </row>
    <row r="35" spans="1:19" s="92" customFormat="1" x14ac:dyDescent="0.25">
      <c r="A35" s="279"/>
      <c r="B35" s="280">
        <v>39</v>
      </c>
      <c r="C35" s="286" t="s">
        <v>288</v>
      </c>
      <c r="D35" s="280" t="s">
        <v>290</v>
      </c>
      <c r="E35" s="280" t="s">
        <v>291</v>
      </c>
      <c r="F35" s="280" t="s">
        <v>292</v>
      </c>
      <c r="G35" s="280">
        <v>67778</v>
      </c>
      <c r="H35" s="280">
        <v>8211119896</v>
      </c>
      <c r="I35" s="282" t="s">
        <v>289</v>
      </c>
      <c r="J35" s="282" t="s">
        <v>199</v>
      </c>
      <c r="K35" s="283"/>
      <c r="L35" s="280"/>
      <c r="M35" s="280"/>
      <c r="N35" s="280"/>
      <c r="O35" s="280">
        <f>IFERROR(VLOOKUP(P35,'DATOS REGISTRADOS'!B:Q,16,FALSE)," ")</f>
        <v>1</v>
      </c>
      <c r="P35" s="280">
        <f>IFERROR(VLOOKUP(Q35,'DATOS REGISTRADOS'!B:Q,16,FALSE)," ")</f>
        <v>10</v>
      </c>
      <c r="Q35" s="280">
        <v>11</v>
      </c>
      <c r="R35" s="284" t="str">
        <f>VLOOKUP(Q35,'DATOS REGISTRADOS'!B:C,2,FALSE)</f>
        <v>Silvano Cavazos Salazar</v>
      </c>
      <c r="S35" s="280">
        <v>39</v>
      </c>
    </row>
    <row r="36" spans="1:19" s="92" customFormat="1" x14ac:dyDescent="0.25">
      <c r="A36" s="279"/>
      <c r="B36" s="280">
        <v>38</v>
      </c>
      <c r="C36" s="286" t="s">
        <v>284</v>
      </c>
      <c r="D36" s="280" t="s">
        <v>286</v>
      </c>
      <c r="E36" s="280" t="s">
        <v>287</v>
      </c>
      <c r="F36" s="280" t="s">
        <v>267</v>
      </c>
      <c r="G36" s="280">
        <v>66647</v>
      </c>
      <c r="H36" s="280">
        <v>8124367057</v>
      </c>
      <c r="I36" s="282" t="s">
        <v>285</v>
      </c>
      <c r="J36" s="282" t="s">
        <v>205</v>
      </c>
      <c r="K36" s="283"/>
      <c r="L36" s="280"/>
      <c r="M36" s="280"/>
      <c r="N36" s="280"/>
      <c r="O36" s="280">
        <f>IFERROR(VLOOKUP(P36,'DATOS REGISTRADOS'!B:Q,16,FALSE)," ")</f>
        <v>11</v>
      </c>
      <c r="P36" s="280">
        <f>IFERROR(VLOOKUP(Q36,'DATOS REGISTRADOS'!B:Q,16,FALSE)," ")</f>
        <v>15</v>
      </c>
      <c r="Q36" s="280">
        <v>30</v>
      </c>
      <c r="R36" s="284" t="str">
        <f>VLOOKUP(Q36,'DATOS REGISTRADOS'!B:C,2,FALSE)</f>
        <v>Marina Concepcion Salazar Soto</v>
      </c>
      <c r="S36" s="280">
        <v>38</v>
      </c>
    </row>
    <row r="37" spans="1:19" s="92" customFormat="1" x14ac:dyDescent="0.25">
      <c r="A37" s="279"/>
      <c r="B37" s="280">
        <v>37</v>
      </c>
      <c r="C37" s="286" t="s">
        <v>280</v>
      </c>
      <c r="D37" s="280" t="s">
        <v>283</v>
      </c>
      <c r="E37" s="280" t="s">
        <v>282</v>
      </c>
      <c r="F37" s="280" t="s">
        <v>239</v>
      </c>
      <c r="G37" s="280">
        <v>64346</v>
      </c>
      <c r="H37" s="280">
        <v>8126606308</v>
      </c>
      <c r="I37" s="282" t="s">
        <v>281</v>
      </c>
      <c r="J37" s="282" t="s">
        <v>205</v>
      </c>
      <c r="K37" s="283"/>
      <c r="L37" s="280"/>
      <c r="M37" s="280"/>
      <c r="N37" s="280"/>
      <c r="O37" s="280">
        <f>IFERROR(VLOOKUP(P37,'DATOS REGISTRADOS'!B:Q,16,FALSE)," ")</f>
        <v>11</v>
      </c>
      <c r="P37" s="280">
        <f>IFERROR(VLOOKUP(Q37,'DATOS REGISTRADOS'!B:Q,16,FALSE)," ")</f>
        <v>15</v>
      </c>
      <c r="Q37" s="280">
        <v>30</v>
      </c>
      <c r="R37" s="284" t="str">
        <f>VLOOKUP(Q37,'DATOS REGISTRADOS'!B:C,2,FALSE)</f>
        <v>Marina Concepcion Salazar Soto</v>
      </c>
      <c r="S37" s="280">
        <v>37</v>
      </c>
    </row>
    <row r="38" spans="1:19" s="92" customFormat="1" x14ac:dyDescent="0.25">
      <c r="A38" s="279"/>
      <c r="B38" s="280">
        <v>36</v>
      </c>
      <c r="C38" s="286" t="s">
        <v>275</v>
      </c>
      <c r="D38" s="280" t="s">
        <v>277</v>
      </c>
      <c r="E38" s="280" t="s">
        <v>278</v>
      </c>
      <c r="F38" s="280" t="s">
        <v>279</v>
      </c>
      <c r="G38" s="280">
        <v>64140</v>
      </c>
      <c r="H38" s="280">
        <v>8115993799</v>
      </c>
      <c r="I38" s="282" t="s">
        <v>276</v>
      </c>
      <c r="J38" s="282"/>
      <c r="K38" s="283"/>
      <c r="L38" s="280"/>
      <c r="M38" s="280"/>
      <c r="N38" s="280"/>
      <c r="O38" s="280">
        <f>IFERROR(VLOOKUP(P38,'DATOS REGISTRADOS'!B:Q,16,FALSE)," ")</f>
        <v>11</v>
      </c>
      <c r="P38" s="280">
        <f>IFERROR(VLOOKUP(Q38,'DATOS REGISTRADOS'!B:Q,16,FALSE)," ")</f>
        <v>15</v>
      </c>
      <c r="Q38" s="280">
        <v>30</v>
      </c>
      <c r="R38" s="284" t="str">
        <f>VLOOKUP(Q38,'DATOS REGISTRADOS'!B:C,2,FALSE)</f>
        <v>Marina Concepcion Salazar Soto</v>
      </c>
      <c r="S38" s="280">
        <v>36</v>
      </c>
    </row>
    <row r="39" spans="1:19" s="92" customFormat="1" x14ac:dyDescent="0.25">
      <c r="A39" s="279"/>
      <c r="B39" s="280">
        <v>35</v>
      </c>
      <c r="C39" s="286" t="s">
        <v>268</v>
      </c>
      <c r="D39" s="280" t="s">
        <v>271</v>
      </c>
      <c r="E39" s="280" t="s">
        <v>272</v>
      </c>
      <c r="F39" s="280" t="s">
        <v>273</v>
      </c>
      <c r="G39" s="280">
        <v>66647</v>
      </c>
      <c r="H39" s="280" t="s">
        <v>269</v>
      </c>
      <c r="I39" s="282" t="s">
        <v>270</v>
      </c>
      <c r="J39" s="282" t="s">
        <v>274</v>
      </c>
      <c r="K39" s="283"/>
      <c r="L39" s="280"/>
      <c r="M39" s="280"/>
      <c r="N39" s="280"/>
      <c r="O39" s="280">
        <f>IFERROR(VLOOKUP(P39,'DATOS REGISTRADOS'!B:Q,16,FALSE)," ")</f>
        <v>11</v>
      </c>
      <c r="P39" s="280">
        <f>IFERROR(VLOOKUP(Q39,'DATOS REGISTRADOS'!B:Q,16,FALSE)," ")</f>
        <v>15</v>
      </c>
      <c r="Q39" s="280">
        <v>30</v>
      </c>
      <c r="R39" s="284" t="str">
        <f>VLOOKUP(Q39,'DATOS REGISTRADOS'!B:C,2,FALSE)</f>
        <v>Marina Concepcion Salazar Soto</v>
      </c>
      <c r="S39" s="280">
        <v>35</v>
      </c>
    </row>
    <row r="40" spans="1:19" s="92" customFormat="1" x14ac:dyDescent="0.25">
      <c r="A40" s="279"/>
      <c r="B40" s="280">
        <v>34</v>
      </c>
      <c r="C40" s="286" t="s">
        <v>263</v>
      </c>
      <c r="D40" s="280" t="s">
        <v>265</v>
      </c>
      <c r="E40" s="280" t="s">
        <v>266</v>
      </c>
      <c r="F40" s="280" t="s">
        <v>267</v>
      </c>
      <c r="G40" s="280">
        <v>66647</v>
      </c>
      <c r="H40" s="280">
        <v>8180713039</v>
      </c>
      <c r="I40" s="282" t="s">
        <v>264</v>
      </c>
      <c r="J40" s="282" t="s">
        <v>205</v>
      </c>
      <c r="K40" s="283"/>
      <c r="L40" s="280"/>
      <c r="M40" s="280"/>
      <c r="N40" s="280"/>
      <c r="O40" s="280">
        <f>IFERROR(VLOOKUP(P40,'DATOS REGISTRADOS'!B:Q,16,FALSE)," ")</f>
        <v>11</v>
      </c>
      <c r="P40" s="280">
        <f>IFERROR(VLOOKUP(Q40,'DATOS REGISTRADOS'!B:Q,16,FALSE)," ")</f>
        <v>15</v>
      </c>
      <c r="Q40" s="280">
        <v>25</v>
      </c>
      <c r="R40" s="284" t="str">
        <f>VLOOKUP(Q40,'DATOS REGISTRADOS'!B:C,2,FALSE)</f>
        <v>María de los angeles Martínez Villareal</v>
      </c>
      <c r="S40" s="280">
        <v>34</v>
      </c>
    </row>
    <row r="41" spans="1:19" s="92" customFormat="1" x14ac:dyDescent="0.25">
      <c r="A41" s="279"/>
      <c r="B41" s="280">
        <v>33</v>
      </c>
      <c r="C41" s="286" t="s">
        <v>260</v>
      </c>
      <c r="D41" s="280" t="s">
        <v>262</v>
      </c>
      <c r="E41" s="280" t="s">
        <v>261</v>
      </c>
      <c r="F41" s="280" t="s">
        <v>165</v>
      </c>
      <c r="G41" s="280">
        <v>66646</v>
      </c>
      <c r="H41" s="280">
        <v>8115431377</v>
      </c>
      <c r="I41" s="282" t="s">
        <v>259</v>
      </c>
      <c r="J41" s="282" t="s">
        <v>205</v>
      </c>
      <c r="K41" s="283"/>
      <c r="L41" s="280"/>
      <c r="M41" s="280"/>
      <c r="N41" s="280"/>
      <c r="O41" s="280">
        <f>IFERROR(VLOOKUP(P41,'DATOS REGISTRADOS'!B:Q,16,FALSE)," ")</f>
        <v>11</v>
      </c>
      <c r="P41" s="280">
        <f>IFERROR(VLOOKUP(Q41,'DATOS REGISTRADOS'!B:Q,16,FALSE)," ")</f>
        <v>15</v>
      </c>
      <c r="Q41" s="280">
        <v>25</v>
      </c>
      <c r="R41" s="284" t="str">
        <f>VLOOKUP(Q41,'DATOS REGISTRADOS'!B:C,2,FALSE)</f>
        <v>María de los angeles Martínez Villareal</v>
      </c>
      <c r="S41" s="280">
        <v>33</v>
      </c>
    </row>
    <row r="42" spans="1:19" s="92" customFormat="1" x14ac:dyDescent="0.25">
      <c r="A42" s="279"/>
      <c r="B42" s="280">
        <v>32</v>
      </c>
      <c r="C42" s="286" t="s">
        <v>372</v>
      </c>
      <c r="D42" s="280" t="s">
        <v>256</v>
      </c>
      <c r="E42" s="280" t="s">
        <v>257</v>
      </c>
      <c r="F42" s="280" t="s">
        <v>258</v>
      </c>
      <c r="G42" s="280">
        <v>66072</v>
      </c>
      <c r="H42" s="280">
        <v>8115698175</v>
      </c>
      <c r="I42" s="282" t="s">
        <v>255</v>
      </c>
      <c r="J42" s="282" t="s">
        <v>205</v>
      </c>
      <c r="K42" s="283"/>
      <c r="L42" s="280"/>
      <c r="M42" s="280"/>
      <c r="N42" s="280"/>
      <c r="O42" s="280">
        <f>IFERROR(VLOOKUP(P42,'DATOS REGISTRADOS'!B:Q,16,FALSE)," ")</f>
        <v>10</v>
      </c>
      <c r="P42" s="280">
        <f>IFERROR(VLOOKUP(Q42,'DATOS REGISTRADOS'!B:Q,16,FALSE)," ")</f>
        <v>11</v>
      </c>
      <c r="Q42" s="280">
        <v>23</v>
      </c>
      <c r="R42" s="284" t="str">
        <f>VLOOKUP(Q42,'DATOS REGISTRADOS'!B:C,2,FALSE)</f>
        <v>Bertha Vázquez</v>
      </c>
      <c r="S42" s="280">
        <v>32</v>
      </c>
    </row>
    <row r="43" spans="1:19" s="92" customFormat="1" x14ac:dyDescent="0.25">
      <c r="A43" s="279"/>
      <c r="B43" s="280">
        <v>31</v>
      </c>
      <c r="C43" s="286" t="s">
        <v>251</v>
      </c>
      <c r="D43" s="280" t="s">
        <v>253</v>
      </c>
      <c r="E43" s="280" t="s">
        <v>254</v>
      </c>
      <c r="F43" s="280" t="s">
        <v>234</v>
      </c>
      <c r="G43" s="280">
        <v>66647</v>
      </c>
      <c r="H43" s="280">
        <v>8116525884</v>
      </c>
      <c r="I43" s="282" t="s">
        <v>252</v>
      </c>
      <c r="J43" s="282" t="s">
        <v>205</v>
      </c>
      <c r="K43" s="283"/>
      <c r="L43" s="280"/>
      <c r="M43" s="280"/>
      <c r="N43" s="280"/>
      <c r="O43" s="280">
        <f>IFERROR(VLOOKUP(P43,'DATOS REGISTRADOS'!B:Q,16,FALSE)," ")</f>
        <v>11</v>
      </c>
      <c r="P43" s="280">
        <f>IFERROR(VLOOKUP(Q43,'DATOS REGISTRADOS'!B:Q,16,FALSE)," ")</f>
        <v>15</v>
      </c>
      <c r="Q43" s="280">
        <v>30</v>
      </c>
      <c r="R43" s="284" t="str">
        <f>VLOOKUP(Q43,'DATOS REGISTRADOS'!B:C,2,FALSE)</f>
        <v>Marina Concepcion Salazar Soto</v>
      </c>
      <c r="S43" s="280">
        <v>31</v>
      </c>
    </row>
    <row r="44" spans="1:19" s="92" customFormat="1" x14ac:dyDescent="0.25">
      <c r="A44" s="279"/>
      <c r="B44" s="280">
        <v>30</v>
      </c>
      <c r="C44" s="286" t="s">
        <v>245</v>
      </c>
      <c r="D44" s="280" t="s">
        <v>247</v>
      </c>
      <c r="E44" s="280" t="s">
        <v>248</v>
      </c>
      <c r="F44" s="280" t="s">
        <v>249</v>
      </c>
      <c r="G44" s="280">
        <v>66673</v>
      </c>
      <c r="H44" s="280">
        <v>8184665770</v>
      </c>
      <c r="I44" s="282" t="s">
        <v>246</v>
      </c>
      <c r="J44" s="282" t="s">
        <v>205</v>
      </c>
      <c r="K44" s="283"/>
      <c r="L44" s="280"/>
      <c r="M44" s="280"/>
      <c r="N44" s="280"/>
      <c r="O44" s="280">
        <f>IFERROR(VLOOKUP(P44,'DATOS REGISTRADOS'!B:Q,16,FALSE)," ")</f>
        <v>10</v>
      </c>
      <c r="P44" s="280">
        <f>IFERROR(VLOOKUP(Q44,'DATOS REGISTRADOS'!B:Q,16,FALSE)," ")</f>
        <v>11</v>
      </c>
      <c r="Q44" s="280">
        <v>15</v>
      </c>
      <c r="R44" s="284" t="str">
        <f>VLOOKUP(Q44,'DATOS REGISTRADOS'!B:C,2,FALSE)</f>
        <v>Celia Salazar Soto</v>
      </c>
      <c r="S44" s="280">
        <v>30</v>
      </c>
    </row>
    <row r="45" spans="1:19" s="92" customFormat="1" x14ac:dyDescent="0.25">
      <c r="A45" s="279"/>
      <c r="B45" s="280">
        <v>29</v>
      </c>
      <c r="C45" s="286" t="s">
        <v>240</v>
      </c>
      <c r="D45" s="280" t="s">
        <v>242</v>
      </c>
      <c r="E45" s="280" t="s">
        <v>243</v>
      </c>
      <c r="F45" s="280" t="s">
        <v>244</v>
      </c>
      <c r="G45" s="280">
        <v>67114</v>
      </c>
      <c r="H45" s="280">
        <v>8187602011</v>
      </c>
      <c r="I45" s="282" t="s">
        <v>241</v>
      </c>
      <c r="J45" s="282" t="s">
        <v>205</v>
      </c>
      <c r="K45" s="283"/>
      <c r="L45" s="280"/>
      <c r="M45" s="280"/>
      <c r="N45" s="280"/>
      <c r="O45" s="280">
        <f>IFERROR(VLOOKUP(P45,'DATOS REGISTRADOS'!B:Q,16,FALSE)," ")</f>
        <v>10</v>
      </c>
      <c r="P45" s="280">
        <f>IFERROR(VLOOKUP(Q45,'DATOS REGISTRADOS'!B:Q,16,FALSE)," ")</f>
        <v>11</v>
      </c>
      <c r="Q45" s="280">
        <v>15</v>
      </c>
      <c r="R45" s="284" t="str">
        <f>VLOOKUP(Q45,'DATOS REGISTRADOS'!B:C,2,FALSE)</f>
        <v>Celia Salazar Soto</v>
      </c>
      <c r="S45" s="280">
        <v>29</v>
      </c>
    </row>
    <row r="46" spans="1:19" s="92" customFormat="1" x14ac:dyDescent="0.25">
      <c r="A46" s="279"/>
      <c r="B46" s="280">
        <v>28</v>
      </c>
      <c r="C46" s="286" t="s">
        <v>250</v>
      </c>
      <c r="D46" s="280" t="s">
        <v>237</v>
      </c>
      <c r="E46" s="280" t="s">
        <v>238</v>
      </c>
      <c r="F46" s="280" t="s">
        <v>239</v>
      </c>
      <c r="G46" s="280">
        <v>66647</v>
      </c>
      <c r="H46" s="280">
        <v>8132769768</v>
      </c>
      <c r="I46" s="282" t="s">
        <v>236</v>
      </c>
      <c r="J46" s="282" t="s">
        <v>205</v>
      </c>
      <c r="K46" s="283"/>
      <c r="L46" s="280"/>
      <c r="M46" s="280"/>
      <c r="N46" s="280"/>
      <c r="O46" s="280">
        <f>IFERROR(VLOOKUP(P46,'DATOS REGISTRADOS'!B:Q,16,FALSE)," ")</f>
        <v>10</v>
      </c>
      <c r="P46" s="280">
        <f>IFERROR(VLOOKUP(Q46,'DATOS REGISTRADOS'!B:Q,16,FALSE)," ")</f>
        <v>11</v>
      </c>
      <c r="Q46" s="280">
        <v>15</v>
      </c>
      <c r="R46" s="284" t="str">
        <f>VLOOKUP(Q46,'DATOS REGISTRADOS'!B:C,2,FALSE)</f>
        <v>Celia Salazar Soto</v>
      </c>
      <c r="S46" s="280">
        <v>28</v>
      </c>
    </row>
    <row r="47" spans="1:19" s="92" customFormat="1" x14ac:dyDescent="0.25">
      <c r="A47" s="279"/>
      <c r="B47" s="280">
        <v>27</v>
      </c>
      <c r="C47" s="286" t="s">
        <v>229</v>
      </c>
      <c r="D47" s="280" t="s">
        <v>232</v>
      </c>
      <c r="E47" s="280" t="s">
        <v>233</v>
      </c>
      <c r="F47" s="280" t="s">
        <v>234</v>
      </c>
      <c r="G47" s="280">
        <v>66646</v>
      </c>
      <c r="H47" s="280" t="s">
        <v>230</v>
      </c>
      <c r="I47" s="282" t="s">
        <v>231</v>
      </c>
      <c r="J47" s="282" t="s">
        <v>235</v>
      </c>
      <c r="K47" s="283"/>
      <c r="L47" s="280"/>
      <c r="M47" s="280"/>
      <c r="N47" s="280"/>
      <c r="O47" s="280">
        <f>IFERROR(VLOOKUP(P47,'DATOS REGISTRADOS'!B:Q,16,FALSE)," ")</f>
        <v>10</v>
      </c>
      <c r="P47" s="280">
        <f>IFERROR(VLOOKUP(Q47,'DATOS REGISTRADOS'!B:Q,16,FALSE)," ")</f>
        <v>11</v>
      </c>
      <c r="Q47" s="280">
        <v>15</v>
      </c>
      <c r="R47" s="284" t="str">
        <f>VLOOKUP(Q47,'DATOS REGISTRADOS'!B:C,2,FALSE)</f>
        <v>Celia Salazar Soto</v>
      </c>
      <c r="S47" s="280">
        <v>27</v>
      </c>
    </row>
    <row r="48" spans="1:19" s="92" customFormat="1" x14ac:dyDescent="0.25">
      <c r="A48" s="279"/>
      <c r="B48" s="280">
        <v>26</v>
      </c>
      <c r="C48" s="286" t="s">
        <v>224</v>
      </c>
      <c r="D48" s="280" t="s">
        <v>226</v>
      </c>
      <c r="E48" s="280" t="s">
        <v>227</v>
      </c>
      <c r="F48" s="280" t="s">
        <v>228</v>
      </c>
      <c r="G48" s="280">
        <v>66600</v>
      </c>
      <c r="H48" s="280">
        <v>8115878779</v>
      </c>
      <c r="I48" s="282" t="s">
        <v>225</v>
      </c>
      <c r="J48" s="282" t="s">
        <v>205</v>
      </c>
      <c r="K48" s="283"/>
      <c r="L48" s="280"/>
      <c r="M48" s="280"/>
      <c r="N48" s="280"/>
      <c r="O48" s="280">
        <f>IFERROR(VLOOKUP(P48,'DATOS REGISTRADOS'!B:Q,16,FALSE)," ")</f>
        <v>10</v>
      </c>
      <c r="P48" s="280">
        <f>IFERROR(VLOOKUP(Q48,'DATOS REGISTRADOS'!B:Q,16,FALSE)," ")</f>
        <v>11</v>
      </c>
      <c r="Q48" s="280">
        <v>15</v>
      </c>
      <c r="R48" s="284" t="str">
        <f>VLOOKUP(Q48,'DATOS REGISTRADOS'!B:C,2,FALSE)</f>
        <v>Celia Salazar Soto</v>
      </c>
      <c r="S48" s="280">
        <v>26</v>
      </c>
    </row>
    <row r="49" spans="1:19" s="92" customFormat="1" x14ac:dyDescent="0.25">
      <c r="B49" s="280">
        <v>25</v>
      </c>
      <c r="C49" s="286" t="s">
        <v>220</v>
      </c>
      <c r="D49" s="280" t="s">
        <v>222</v>
      </c>
      <c r="E49" s="280" t="s">
        <v>223</v>
      </c>
      <c r="F49" s="280" t="s">
        <v>157</v>
      </c>
      <c r="G49" s="280">
        <v>66647</v>
      </c>
      <c r="H49" s="280">
        <v>8126877192</v>
      </c>
      <c r="I49" s="282" t="s">
        <v>221</v>
      </c>
      <c r="J49" s="282" t="s">
        <v>205</v>
      </c>
      <c r="K49" s="283"/>
      <c r="L49" s="280"/>
      <c r="M49" s="280"/>
      <c r="N49" s="280"/>
      <c r="O49" s="280">
        <f>IFERROR(VLOOKUP(P49,'DATOS REGISTRADOS'!B:Q,16,FALSE)," ")</f>
        <v>10</v>
      </c>
      <c r="P49" s="280">
        <f>IFERROR(VLOOKUP(Q49,'DATOS REGISTRADOS'!B:Q,16,FALSE)," ")</f>
        <v>11</v>
      </c>
      <c r="Q49" s="280">
        <v>15</v>
      </c>
      <c r="R49" s="284" t="str">
        <f>VLOOKUP(Q49,'DATOS REGISTRADOS'!B:C,2,FALSE)</f>
        <v>Celia Salazar Soto</v>
      </c>
      <c r="S49" s="280">
        <v>25</v>
      </c>
    </row>
    <row r="50" spans="1:19" s="92" customFormat="1" x14ac:dyDescent="0.25">
      <c r="B50" s="280">
        <v>24</v>
      </c>
      <c r="C50" s="286" t="s">
        <v>215</v>
      </c>
      <c r="D50" s="280" t="s">
        <v>217</v>
      </c>
      <c r="E50" s="280" t="s">
        <v>218</v>
      </c>
      <c r="F50" s="280" t="s">
        <v>214</v>
      </c>
      <c r="G50" s="280">
        <v>67117</v>
      </c>
      <c r="H50" s="280">
        <v>8124366527</v>
      </c>
      <c r="I50" s="282" t="s">
        <v>216</v>
      </c>
      <c r="J50" s="282" t="s">
        <v>219</v>
      </c>
      <c r="K50" s="283"/>
      <c r="L50" s="280"/>
      <c r="M50" s="280"/>
      <c r="N50" s="280"/>
      <c r="O50" s="280">
        <f>IFERROR(VLOOKUP(P50,'DATOS REGISTRADOS'!B:Q,16,FALSE)," ")</f>
        <v>10</v>
      </c>
      <c r="P50" s="280">
        <f>IFERROR(VLOOKUP(Q50,'DATOS REGISTRADOS'!B:Q,16,FALSE)," ")</f>
        <v>11</v>
      </c>
      <c r="Q50" s="280">
        <v>14</v>
      </c>
      <c r="R50" s="284" t="str">
        <f>VLOOKUP(Q50,'DATOS REGISTRADOS'!B:C,2,FALSE)</f>
        <v>Deyanira Cavazos</v>
      </c>
      <c r="S50" s="280">
        <v>24</v>
      </c>
    </row>
    <row r="51" spans="1:19" s="92" customFormat="1" x14ac:dyDescent="0.25">
      <c r="B51" s="280">
        <v>23</v>
      </c>
      <c r="C51" s="286" t="s">
        <v>210</v>
      </c>
      <c r="D51" s="280" t="s">
        <v>212</v>
      </c>
      <c r="E51" s="280" t="s">
        <v>213</v>
      </c>
      <c r="F51" s="280" t="s">
        <v>214</v>
      </c>
      <c r="G51" s="280">
        <v>67110</v>
      </c>
      <c r="H51" s="280">
        <v>22293936611</v>
      </c>
      <c r="I51" s="282" t="s">
        <v>211</v>
      </c>
      <c r="J51" s="282" t="s">
        <v>205</v>
      </c>
      <c r="K51" s="283"/>
      <c r="L51" s="280"/>
      <c r="M51" s="280"/>
      <c r="N51" s="280"/>
      <c r="O51" s="280">
        <f>IFERROR(VLOOKUP(P51,'DATOS REGISTRADOS'!B:Q,16,FALSE)," ")</f>
        <v>1</v>
      </c>
      <c r="P51" s="280">
        <f>IFERROR(VLOOKUP(Q51,'DATOS REGISTRADOS'!B:Q,16,FALSE)," ")</f>
        <v>10</v>
      </c>
      <c r="Q51" s="280">
        <v>11</v>
      </c>
      <c r="R51" s="284" t="str">
        <f>VLOOKUP(Q51,'DATOS REGISTRADOS'!B:C,2,FALSE)</f>
        <v>Silvano Cavazos Salazar</v>
      </c>
      <c r="S51" s="47">
        <v>23</v>
      </c>
    </row>
    <row r="52" spans="1:19" s="92" customFormat="1" x14ac:dyDescent="0.25">
      <c r="B52" s="280">
        <v>22</v>
      </c>
      <c r="C52" s="286" t="s">
        <v>206</v>
      </c>
      <c r="D52" s="280"/>
      <c r="E52" s="280" t="s">
        <v>208</v>
      </c>
      <c r="F52" s="280" t="s">
        <v>209</v>
      </c>
      <c r="G52" s="280">
        <v>66647</v>
      </c>
      <c r="H52" s="280">
        <v>8117223521</v>
      </c>
      <c r="I52" s="282" t="s">
        <v>207</v>
      </c>
      <c r="J52" s="282" t="s">
        <v>205</v>
      </c>
      <c r="K52" s="283"/>
      <c r="L52" s="280"/>
      <c r="M52" s="280"/>
      <c r="N52" s="280"/>
      <c r="O52" s="280">
        <f>IFERROR(VLOOKUP(P52,'DATOS REGISTRADOS'!B:Q,16,FALSE)," ")</f>
        <v>10</v>
      </c>
      <c r="P52" s="280">
        <f>IFERROR(VLOOKUP(Q52,'DATOS REGISTRADOS'!B:Q,16,FALSE)," ")</f>
        <v>11</v>
      </c>
      <c r="Q52" s="280">
        <v>15</v>
      </c>
      <c r="R52" s="284" t="str">
        <f>VLOOKUP(Q52,'DATOS REGISTRADOS'!B:C,2,FALSE)</f>
        <v>Celia Salazar Soto</v>
      </c>
      <c r="S52" s="280">
        <v>22</v>
      </c>
    </row>
    <row r="53" spans="1:19" s="92" customFormat="1" x14ac:dyDescent="0.25">
      <c r="B53" s="280">
        <v>21</v>
      </c>
      <c r="C53" s="286" t="s">
        <v>200</v>
      </c>
      <c r="D53" s="280" t="s">
        <v>203</v>
      </c>
      <c r="E53" s="280" t="s">
        <v>204</v>
      </c>
      <c r="F53" s="280" t="s">
        <v>202</v>
      </c>
      <c r="G53" s="280">
        <v>20286</v>
      </c>
      <c r="H53" s="280">
        <v>4499190457</v>
      </c>
      <c r="I53" s="282" t="s">
        <v>201</v>
      </c>
      <c r="J53" s="282" t="s">
        <v>205</v>
      </c>
      <c r="K53" s="283"/>
      <c r="L53" s="280"/>
      <c r="M53" s="280"/>
      <c r="N53" s="280"/>
      <c r="O53" s="280">
        <f>IFERROR(VLOOKUP(P53,'DATOS REGISTRADOS'!B:Q,16,FALSE)," ")</f>
        <v>1</v>
      </c>
      <c r="P53" s="280">
        <f>IFERROR(VLOOKUP(Q53,'DATOS REGISTRADOS'!B:Q,16,FALSE)," ")</f>
        <v>1</v>
      </c>
      <c r="Q53" s="280">
        <v>2</v>
      </c>
      <c r="R53" s="284" t="str">
        <f>VLOOKUP(Q53,'DATOS REGISTRADOS'!B:C,2,FALSE)</f>
        <v>JONATHAN ALFONSO LINARES PARRILLA</v>
      </c>
      <c r="S53" s="280"/>
    </row>
    <row r="54" spans="1:19" s="92" customFormat="1" x14ac:dyDescent="0.25">
      <c r="B54" s="280">
        <v>20</v>
      </c>
      <c r="C54" s="285" t="s">
        <v>195</v>
      </c>
      <c r="D54" s="280" t="s">
        <v>197</v>
      </c>
      <c r="E54" s="280" t="s">
        <v>198</v>
      </c>
      <c r="F54" s="280" t="s">
        <v>165</v>
      </c>
      <c r="G54" s="280">
        <v>66470</v>
      </c>
      <c r="H54" s="280" t="s">
        <v>161</v>
      </c>
      <c r="I54" s="282" t="s">
        <v>196</v>
      </c>
      <c r="J54" s="282" t="s">
        <v>199</v>
      </c>
      <c r="K54" s="283"/>
      <c r="L54" s="280"/>
      <c r="M54" s="280"/>
      <c r="N54" s="280"/>
      <c r="O54" s="280">
        <f>IFERROR(VLOOKUP(P54,'DATOS REGISTRADOS'!B:Q,16,FALSE)," ")</f>
        <v>10</v>
      </c>
      <c r="P54" s="280">
        <f>IFERROR(VLOOKUP(Q54,'DATOS REGISTRADOS'!B:Q,16,FALSE)," ")</f>
        <v>11</v>
      </c>
      <c r="Q54" s="280">
        <v>15</v>
      </c>
      <c r="R54" s="284" t="str">
        <f>VLOOKUP(Q54,'DATOS REGISTRADOS'!B:C,2,FALSE)</f>
        <v>Celia Salazar Soto</v>
      </c>
      <c r="S54" s="47">
        <v>20</v>
      </c>
    </row>
    <row r="55" spans="1:19" s="92" customFormat="1" x14ac:dyDescent="0.25">
      <c r="B55" s="280">
        <v>19</v>
      </c>
      <c r="C55" s="285" t="s">
        <v>190</v>
      </c>
      <c r="D55" s="280" t="s">
        <v>191</v>
      </c>
      <c r="E55" s="280" t="s">
        <v>192</v>
      </c>
      <c r="F55" s="280" t="s">
        <v>193</v>
      </c>
      <c r="G55" s="280">
        <v>67192</v>
      </c>
      <c r="H55" s="280">
        <v>8186913173</v>
      </c>
      <c r="I55" s="282" t="s">
        <v>189</v>
      </c>
      <c r="J55" s="282" t="s">
        <v>194</v>
      </c>
      <c r="K55" s="283"/>
      <c r="L55" s="280"/>
      <c r="M55" s="280"/>
      <c r="N55" s="280"/>
      <c r="O55" s="280">
        <f>IFERROR(VLOOKUP(P55,'DATOS REGISTRADOS'!B:Q,16,FALSE)," ")</f>
        <v>1</v>
      </c>
      <c r="P55" s="280">
        <f>IFERROR(VLOOKUP(Q55,'DATOS REGISTRADOS'!B:Q,16,FALSE)," ")</f>
        <v>10</v>
      </c>
      <c r="Q55" s="280">
        <v>11</v>
      </c>
      <c r="R55" s="284" t="str">
        <f>VLOOKUP(Q55,'DATOS REGISTRADOS'!B:C,2,FALSE)</f>
        <v>Silvano Cavazos Salazar</v>
      </c>
      <c r="S55" s="280">
        <v>19</v>
      </c>
    </row>
    <row r="56" spans="1:19" s="92" customFormat="1" x14ac:dyDescent="0.25">
      <c r="B56" s="47">
        <v>17</v>
      </c>
      <c r="C56" s="98" t="s">
        <v>188</v>
      </c>
      <c r="D56" s="47"/>
      <c r="E56" s="47"/>
      <c r="F56" s="47"/>
      <c r="G56" s="47"/>
      <c r="H56" s="47"/>
      <c r="I56" s="163" t="s">
        <v>188</v>
      </c>
      <c r="J56" s="58"/>
      <c r="K56" s="48"/>
      <c r="L56" s="47"/>
      <c r="M56" s="47"/>
      <c r="N56" s="47"/>
      <c r="O56" s="47">
        <f>IFERROR(VLOOKUP(P56,'DATOS REGISTRADOS'!B:Q,16,FALSE)," ")</f>
        <v>1</v>
      </c>
      <c r="P56" s="47">
        <f>IFERROR(VLOOKUP(Q56,'DATOS REGISTRADOS'!B:Q,16,FALSE)," ")</f>
        <v>1</v>
      </c>
      <c r="Q56" s="47">
        <v>1</v>
      </c>
      <c r="R56" s="8" t="str">
        <f>VLOOKUP(Q56,'DATOS REGISTRADOS'!B:C,2,FALSE)</f>
        <v>LIN LIFE</v>
      </c>
      <c r="S56" s="47"/>
    </row>
    <row r="57" spans="1:19" s="91" customFormat="1" x14ac:dyDescent="0.25">
      <c r="B57" s="280">
        <v>18</v>
      </c>
      <c r="C57" s="281" t="s">
        <v>183</v>
      </c>
      <c r="D57" s="280" t="s">
        <v>184</v>
      </c>
      <c r="E57" s="280" t="s">
        <v>185</v>
      </c>
      <c r="F57" s="280" t="s">
        <v>186</v>
      </c>
      <c r="G57" s="280">
        <v>67110</v>
      </c>
      <c r="H57" s="280">
        <v>8119871629</v>
      </c>
      <c r="I57" s="282" t="s">
        <v>187</v>
      </c>
      <c r="J57" s="282" t="s">
        <v>28</v>
      </c>
      <c r="K57" s="283"/>
      <c r="L57" s="280"/>
      <c r="M57" s="280"/>
      <c r="N57" s="280"/>
      <c r="O57" s="280">
        <f>IFERROR(VLOOKUP(P57,'DATOS REGISTRADOS'!B:Q,16,FALSE)," ")</f>
        <v>1</v>
      </c>
      <c r="P57" s="280">
        <f>IFERROR(VLOOKUP(Q57,'DATOS REGISTRADOS'!B:Q,16,FALSE)," ")</f>
        <v>10</v>
      </c>
      <c r="Q57" s="280">
        <v>11</v>
      </c>
      <c r="R57" s="284" t="str">
        <f>VLOOKUP(Q57,'DATOS REGISTRADOS'!B:C,2,FALSE)</f>
        <v>Silvano Cavazos Salazar</v>
      </c>
      <c r="S57" s="280" t="e">
        <f>'DATOS REGISTRADOS'!D2+1</f>
        <v>#VALUE!</v>
      </c>
    </row>
    <row r="58" spans="1:19" s="91" customFormat="1" x14ac:dyDescent="0.25">
      <c r="B58" s="280">
        <v>15</v>
      </c>
      <c r="C58" s="281" t="s">
        <v>177</v>
      </c>
      <c r="D58" s="280" t="s">
        <v>178</v>
      </c>
      <c r="E58" s="280" t="s">
        <v>179</v>
      </c>
      <c r="F58" s="280" t="s">
        <v>157</v>
      </c>
      <c r="G58" s="280"/>
      <c r="H58" s="280" t="s">
        <v>180</v>
      </c>
      <c r="I58" s="282" t="s">
        <v>181</v>
      </c>
      <c r="J58" s="282" t="s">
        <v>182</v>
      </c>
      <c r="K58" s="283"/>
      <c r="L58" s="280"/>
      <c r="M58" s="280"/>
      <c r="N58" s="280"/>
      <c r="O58" s="280">
        <f>IFERROR(VLOOKUP(P58,'DATOS REGISTRADOS'!B:Q,16,FALSE)," ")</f>
        <v>1</v>
      </c>
      <c r="P58" s="280">
        <f>IFERROR(VLOOKUP(Q58,'DATOS REGISTRADOS'!B:Q,16,FALSE)," ")</f>
        <v>10</v>
      </c>
      <c r="Q58" s="280">
        <v>11</v>
      </c>
      <c r="R58" s="284" t="str">
        <f>VLOOKUP(Q58,'DATOS REGISTRADOS'!B:C,2,FALSE)</f>
        <v>Silvano Cavazos Salazar</v>
      </c>
      <c r="S58" s="280"/>
    </row>
    <row r="59" spans="1:19" s="90" customFormat="1" x14ac:dyDescent="0.25">
      <c r="B59" s="280">
        <v>14</v>
      </c>
      <c r="C59" s="281" t="s">
        <v>171</v>
      </c>
      <c r="D59" s="280" t="s">
        <v>176</v>
      </c>
      <c r="E59" s="280" t="s">
        <v>175</v>
      </c>
      <c r="F59" s="280" t="s">
        <v>173</v>
      </c>
      <c r="G59" s="280">
        <v>67100</v>
      </c>
      <c r="H59" s="280">
        <v>8116874502</v>
      </c>
      <c r="I59" s="282" t="s">
        <v>172</v>
      </c>
      <c r="J59" s="282" t="s">
        <v>174</v>
      </c>
      <c r="K59" s="283"/>
      <c r="L59" s="280"/>
      <c r="M59" s="280"/>
      <c r="N59" s="280"/>
      <c r="O59" s="280">
        <f>IFERROR(VLOOKUP(P59,'DATOS REGISTRADOS'!B:Q,16,FALSE)," ")</f>
        <v>1</v>
      </c>
      <c r="P59" s="280">
        <f>IFERROR(VLOOKUP(Q59,'DATOS REGISTRADOS'!B:Q,16,FALSE)," ")</f>
        <v>10</v>
      </c>
      <c r="Q59" s="280">
        <v>11</v>
      </c>
      <c r="R59" s="284" t="str">
        <f>VLOOKUP(Q59,'DATOS REGISTRADOS'!B:C,2,FALSE)</f>
        <v>Silvano Cavazos Salazar</v>
      </c>
      <c r="S59" s="280"/>
    </row>
    <row r="60" spans="1:19" s="90" customFormat="1" x14ac:dyDescent="0.25">
      <c r="A60" s="279"/>
      <c r="B60" s="280">
        <v>13</v>
      </c>
      <c r="C60" s="281" t="s">
        <v>162</v>
      </c>
      <c r="D60" s="280" t="s">
        <v>168</v>
      </c>
      <c r="E60" s="280" t="s">
        <v>169</v>
      </c>
      <c r="F60" s="280" t="s">
        <v>165</v>
      </c>
      <c r="G60" s="280">
        <v>66612</v>
      </c>
      <c r="H60" s="280">
        <v>8117967924</v>
      </c>
      <c r="I60" s="282" t="s">
        <v>170</v>
      </c>
      <c r="J60" s="282" t="s">
        <v>28</v>
      </c>
      <c r="K60" s="283"/>
      <c r="L60" s="280"/>
      <c r="M60" s="280"/>
      <c r="N60" s="280"/>
      <c r="O60" s="280">
        <f>IFERROR(VLOOKUP(P60,'DATOS REGISTRADOS'!B:Q,16,FALSE)," ")</f>
        <v>1</v>
      </c>
      <c r="P60" s="280">
        <f>IFERROR(VLOOKUP(Q60,'DATOS REGISTRADOS'!B:Q,16,FALSE)," ")</f>
        <v>10</v>
      </c>
      <c r="Q60" s="280">
        <v>11</v>
      </c>
      <c r="R60" s="284" t="str">
        <f>VLOOKUP(Q60,'DATOS REGISTRADOS'!B:C,2,FALSE)</f>
        <v>Silvano Cavazos Salazar</v>
      </c>
      <c r="S60" s="47"/>
    </row>
    <row r="61" spans="1:19" s="89" customFormat="1" x14ac:dyDescent="0.25">
      <c r="B61" s="278">
        <v>12</v>
      </c>
      <c r="C61" s="46" t="s">
        <v>162</v>
      </c>
      <c r="D61" s="47" t="s">
        <v>163</v>
      </c>
      <c r="E61" s="47" t="s">
        <v>164</v>
      </c>
      <c r="F61" s="47" t="s">
        <v>165</v>
      </c>
      <c r="G61" s="47">
        <v>66612</v>
      </c>
      <c r="H61" s="47">
        <v>8117967924</v>
      </c>
      <c r="I61" s="58" t="s">
        <v>166</v>
      </c>
      <c r="J61" s="58" t="s">
        <v>167</v>
      </c>
      <c r="K61" s="48"/>
      <c r="L61" s="47"/>
      <c r="M61" s="47"/>
      <c r="N61" s="47"/>
      <c r="O61" s="47">
        <f>IFERROR(VLOOKUP(P61,'DATOS REGISTRADOS'!B:Q,16,FALSE)," ")</f>
        <v>1</v>
      </c>
      <c r="P61" s="47">
        <f>IFERROR(VLOOKUP(Q61,'DATOS REGISTRADOS'!B:Q,16,FALSE)," ")</f>
        <v>10</v>
      </c>
      <c r="Q61" s="47">
        <v>11</v>
      </c>
      <c r="R61" s="8" t="str">
        <f>VLOOKUP(Q61,'DATOS REGISTRADOS'!B:C,2,FALSE)</f>
        <v>Silvano Cavazos Salazar</v>
      </c>
      <c r="S61" s="47"/>
    </row>
    <row r="62" spans="1:19" s="81" customFormat="1" x14ac:dyDescent="0.25">
      <c r="B62" s="275">
        <v>11</v>
      </c>
      <c r="C62" s="46" t="s">
        <v>154</v>
      </c>
      <c r="D62" s="47" t="s">
        <v>155</v>
      </c>
      <c r="E62" s="47" t="s">
        <v>156</v>
      </c>
      <c r="F62" s="47" t="s">
        <v>157</v>
      </c>
      <c r="G62" s="47">
        <v>66647</v>
      </c>
      <c r="H62" s="47" t="s">
        <v>158</v>
      </c>
      <c r="I62" s="58" t="s">
        <v>479</v>
      </c>
      <c r="J62" s="58" t="s">
        <v>28</v>
      </c>
      <c r="K62" s="48"/>
      <c r="L62" s="47" t="s">
        <v>159</v>
      </c>
      <c r="M62" s="47" t="s">
        <v>159</v>
      </c>
      <c r="N62" s="47" t="s">
        <v>159</v>
      </c>
      <c r="O62" s="47">
        <f>IFERROR(VLOOKUP(P62,'DATOS REGISTRADOS'!B:Q,16,FALSE)," ")</f>
        <v>1</v>
      </c>
      <c r="P62" s="47">
        <f>IFERROR(VLOOKUP(Q62,'DATOS REGISTRADOS'!B:Q,16,FALSE)," ")</f>
        <v>1</v>
      </c>
      <c r="Q62" s="47">
        <v>10</v>
      </c>
      <c r="R62" s="8" t="str">
        <f>VLOOKUP(Q62,'DATOS REGISTRADOS'!B:C,2,FALSE)</f>
        <v>Héctor Salamanca Salamanca</v>
      </c>
      <c r="S62" s="47"/>
    </row>
    <row r="63" spans="1:19" x14ac:dyDescent="0.25">
      <c r="B63" s="276">
        <v>10</v>
      </c>
      <c r="C63" s="162" t="s">
        <v>160</v>
      </c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4"/>
      <c r="O63" s="165"/>
      <c r="P63" s="162"/>
      <c r="Q63" s="162">
        <v>1</v>
      </c>
      <c r="R63" s="158" t="s">
        <v>22</v>
      </c>
    </row>
    <row r="64" spans="1:19" ht="18.75" x14ac:dyDescent="0.25">
      <c r="B64" s="277">
        <f>B65+1</f>
        <v>5</v>
      </c>
      <c r="C64" s="272" t="s">
        <v>42</v>
      </c>
      <c r="D64" s="273" t="s">
        <v>43</v>
      </c>
      <c r="E64" s="273" t="s">
        <v>44</v>
      </c>
      <c r="F64" s="273" t="s">
        <v>45</v>
      </c>
      <c r="G64" s="273">
        <v>9200</v>
      </c>
      <c r="H64" s="273">
        <v>5513882272</v>
      </c>
      <c r="I64" s="273"/>
      <c r="J64" s="273" t="s">
        <v>46</v>
      </c>
      <c r="K64" s="273">
        <v>26293</v>
      </c>
      <c r="L64" s="273" t="s">
        <v>47</v>
      </c>
      <c r="M64" s="273" t="s">
        <v>48</v>
      </c>
      <c r="N64" s="273" t="s">
        <v>41</v>
      </c>
      <c r="O64" s="273">
        <v>1.27180013952296E+17</v>
      </c>
      <c r="P64" s="273" t="s">
        <v>21</v>
      </c>
      <c r="Q64" s="273">
        <v>4</v>
      </c>
      <c r="R64" s="274" t="str">
        <f>VLOOKUP(Q64,'DATOS REGISTRADOS'!B:C,2,FALSE)</f>
        <v>DAVID PARRILLA DE LEON</v>
      </c>
      <c r="S64" s="162"/>
    </row>
    <row r="65" spans="2:19" ht="18.75" x14ac:dyDescent="0.25">
      <c r="B65" s="277">
        <f>B66+1</f>
        <v>4</v>
      </c>
      <c r="C65" s="272" t="s">
        <v>38</v>
      </c>
      <c r="D65" s="273" t="s">
        <v>16</v>
      </c>
      <c r="E65" s="273" t="s">
        <v>39</v>
      </c>
      <c r="F65" s="273" t="s">
        <v>17</v>
      </c>
      <c r="G65" s="273">
        <v>57800</v>
      </c>
      <c r="H65" s="273">
        <v>5511267068</v>
      </c>
      <c r="I65" s="273"/>
      <c r="J65" s="273" t="s">
        <v>28</v>
      </c>
      <c r="K65" s="273">
        <v>27394</v>
      </c>
      <c r="L65" s="273" t="s">
        <v>40</v>
      </c>
      <c r="M65" s="273" t="s">
        <v>21</v>
      </c>
      <c r="N65" s="273" t="s">
        <v>41</v>
      </c>
      <c r="O65" s="273"/>
      <c r="P65" s="273"/>
      <c r="Q65" s="273">
        <v>1</v>
      </c>
      <c r="R65" s="274" t="str">
        <f>VLOOKUP(Q65,'DATOS REGISTRADOS'!B:C,2,FALSE)</f>
        <v>LIN LIFE</v>
      </c>
    </row>
    <row r="66" spans="2:19" ht="18.75" x14ac:dyDescent="0.25">
      <c r="B66" s="277">
        <f>B67+1</f>
        <v>3</v>
      </c>
      <c r="C66" s="272" t="s">
        <v>32</v>
      </c>
      <c r="D66" s="273" t="s">
        <v>33</v>
      </c>
      <c r="E66" s="273" t="s">
        <v>34</v>
      </c>
      <c r="F66" s="273" t="s">
        <v>35</v>
      </c>
      <c r="G66" s="273">
        <v>94290</v>
      </c>
      <c r="H66" s="273">
        <v>2294626558</v>
      </c>
      <c r="I66" s="273"/>
      <c r="J66" s="273" t="s">
        <v>28</v>
      </c>
      <c r="K66" s="273">
        <v>34617</v>
      </c>
      <c r="L66" s="273"/>
      <c r="M66" s="273" t="s">
        <v>36</v>
      </c>
      <c r="N66" s="273" t="s">
        <v>37</v>
      </c>
      <c r="O66" s="273"/>
      <c r="P66" s="273"/>
      <c r="Q66" s="273">
        <v>1</v>
      </c>
      <c r="R66" s="274" t="str">
        <f>VLOOKUP(Q66,'DATOS REGISTRADOS'!B:C,2,FALSE)</f>
        <v>LIN LIFE</v>
      </c>
      <c r="S66" s="158"/>
    </row>
    <row r="67" spans="2:19" s="11" customFormat="1" ht="18.75" x14ac:dyDescent="0.25">
      <c r="B67" s="277">
        <v>2</v>
      </c>
      <c r="C67" s="272" t="s">
        <v>25</v>
      </c>
      <c r="D67" s="273" t="s">
        <v>26</v>
      </c>
      <c r="E67" s="273" t="s">
        <v>27</v>
      </c>
      <c r="F67" s="273" t="s">
        <v>17</v>
      </c>
      <c r="G67" s="273">
        <v>56356</v>
      </c>
      <c r="H67" s="273">
        <v>5514064721</v>
      </c>
      <c r="I67" s="273"/>
      <c r="J67" s="273" t="s">
        <v>28</v>
      </c>
      <c r="K67" s="273">
        <v>35044</v>
      </c>
      <c r="L67" s="273" t="s">
        <v>29</v>
      </c>
      <c r="M67" s="273" t="s">
        <v>30</v>
      </c>
      <c r="N67" s="273" t="s">
        <v>20</v>
      </c>
      <c r="O67" s="273">
        <v>1.21211188827271E+16</v>
      </c>
      <c r="P67" s="273" t="s">
        <v>31</v>
      </c>
      <c r="Q67" s="273">
        <v>1</v>
      </c>
      <c r="R67" s="274" t="str">
        <f>VLOOKUP(Q67,'DATOS REGISTRADOS'!B:C,2,FALSE)</f>
        <v>LIN LIFE</v>
      </c>
      <c r="S67" s="166"/>
    </row>
    <row r="68" spans="2:19" s="11" customFormat="1" ht="18.75" x14ac:dyDescent="0.25">
      <c r="B68" s="277">
        <v>1</v>
      </c>
      <c r="C68" s="272" t="s">
        <v>22</v>
      </c>
      <c r="D68" s="273" t="s">
        <v>16</v>
      </c>
      <c r="E68" s="273" t="s">
        <v>24</v>
      </c>
      <c r="F68" s="273" t="s">
        <v>17</v>
      </c>
      <c r="G68" s="273">
        <v>57800</v>
      </c>
      <c r="H68" s="273">
        <v>5510647080</v>
      </c>
      <c r="I68" s="273"/>
      <c r="J68" s="273" t="s">
        <v>18</v>
      </c>
      <c r="K68" s="273">
        <v>43269</v>
      </c>
      <c r="L68" s="273" t="s">
        <v>19</v>
      </c>
      <c r="M68" s="273" t="s">
        <v>19</v>
      </c>
      <c r="N68" s="273" t="s">
        <v>20</v>
      </c>
      <c r="O68" s="273">
        <v>12345678987654</v>
      </c>
      <c r="P68" s="273" t="s">
        <v>18</v>
      </c>
      <c r="Q68" s="273">
        <v>1</v>
      </c>
      <c r="R68" s="274" t="str">
        <f>VLOOKUP(Q68,'DATOS REGISTRADOS'!B:C,2,FALSE)</f>
        <v>LIN LIFE</v>
      </c>
    </row>
    <row r="69" spans="2:19" s="74" customFormat="1" x14ac:dyDescent="0.25"/>
    <row r="70" spans="2:19" s="51" customFormat="1" ht="18.75" x14ac:dyDescent="0.25">
      <c r="B70" s="4"/>
      <c r="C70" s="46" t="s">
        <v>130</v>
      </c>
      <c r="D70" s="47" t="s">
        <v>131</v>
      </c>
      <c r="E70" s="47" t="s">
        <v>132</v>
      </c>
      <c r="F70" s="47" t="s">
        <v>45</v>
      </c>
      <c r="G70" s="47">
        <v>1111</v>
      </c>
      <c r="H70" s="47"/>
      <c r="I70" s="47"/>
      <c r="J70" s="47"/>
      <c r="K70" s="48"/>
      <c r="L70" s="47"/>
      <c r="M70" s="47"/>
      <c r="N70" s="47"/>
      <c r="O70" s="61"/>
      <c r="P70" s="47"/>
      <c r="Q70" s="47">
        <v>5</v>
      </c>
      <c r="R70" s="8" t="str">
        <f>VLOOKUP(Q70,'DATOS REGISTRADOS'!B:C,2,FALSE)</f>
        <v>BLACA ESTHER MELO ORTIZ</v>
      </c>
      <c r="S70" s="162"/>
    </row>
    <row r="71" spans="2:19" ht="18.75" x14ac:dyDescent="0.25">
      <c r="B71" s="4"/>
      <c r="C71" s="5" t="s">
        <v>53</v>
      </c>
      <c r="D71" s="6" t="s">
        <v>54</v>
      </c>
      <c r="E71" s="6" t="s">
        <v>55</v>
      </c>
      <c r="F71" s="6"/>
      <c r="G71" s="6"/>
      <c r="H71" s="6"/>
      <c r="I71" s="6"/>
      <c r="J71" s="6"/>
      <c r="K71" s="7"/>
      <c r="L71" s="6"/>
      <c r="M71" s="6" t="s">
        <v>56</v>
      </c>
      <c r="N71" s="6"/>
      <c r="O71" s="62"/>
      <c r="P71" s="6"/>
      <c r="Q71" s="6">
        <v>2</v>
      </c>
      <c r="R71" s="8" t="str">
        <f>VLOOKUP(Q71,'DATOS REGISTRADOS'!B:C,2,FALSE)</f>
        <v>JONATHAN ALFONSO LINARES PARRILLA</v>
      </c>
    </row>
    <row r="72" spans="2:19" ht="18.75" x14ac:dyDescent="0.25">
      <c r="B72" s="4"/>
      <c r="C72" s="5" t="s">
        <v>49</v>
      </c>
      <c r="D72" s="6" t="s">
        <v>50</v>
      </c>
      <c r="E72" s="6" t="s">
        <v>51</v>
      </c>
      <c r="F72" s="6" t="s">
        <v>17</v>
      </c>
      <c r="G72" s="6">
        <v>56356</v>
      </c>
      <c r="H72" s="6">
        <v>5564928618</v>
      </c>
      <c r="I72" s="6"/>
      <c r="J72" s="6" t="s">
        <v>28</v>
      </c>
      <c r="K72" s="7">
        <v>33604</v>
      </c>
      <c r="L72" s="6"/>
      <c r="M72" s="6" t="s">
        <v>52</v>
      </c>
      <c r="N72" s="6"/>
      <c r="O72" s="62"/>
      <c r="P72" s="6"/>
      <c r="Q72" s="6">
        <v>4</v>
      </c>
      <c r="R72" s="8" t="str">
        <f>VLOOKUP(Q72,'DATOS REGISTRADOS'!B:C,2,FALSE)</f>
        <v>DAVID PARRILLA DE LEON</v>
      </c>
    </row>
    <row r="73" spans="2:19" x14ac:dyDescent="0.25">
      <c r="N73" s="1"/>
      <c r="R73" s="8" t="e">
        <f>VLOOKUP(Q73,'DATOS REGISTRADOS'!B:C,2,FALSE)</f>
        <v>#N/A</v>
      </c>
    </row>
    <row r="115" spans="2:17" s="11" customFormat="1" x14ac:dyDescent="0.25">
      <c r="N115" s="19"/>
      <c r="O115" s="63"/>
    </row>
    <row r="116" spans="2:17" s="11" customFormat="1" ht="18.75" x14ac:dyDescent="0.25">
      <c r="B116" s="4"/>
      <c r="C116" s="10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20"/>
      <c r="O116" s="64"/>
      <c r="P116" s="15"/>
      <c r="Q116" s="17"/>
    </row>
    <row r="117" spans="2:17" s="12" customFormat="1" x14ac:dyDescent="0.25">
      <c r="C117" s="9"/>
      <c r="D117" s="13"/>
      <c r="E117" s="13"/>
      <c r="F117" s="13"/>
      <c r="G117" s="13"/>
      <c r="H117" s="13"/>
      <c r="I117" s="13"/>
      <c r="J117" s="14"/>
      <c r="K117" s="13"/>
      <c r="L117" s="13"/>
      <c r="M117" s="13"/>
      <c r="N117" s="21"/>
      <c r="O117" s="65"/>
    </row>
    <row r="118" spans="2:17" s="11" customFormat="1" x14ac:dyDescent="0.25">
      <c r="C118" s="10"/>
      <c r="D118" s="15"/>
      <c r="E118" s="15"/>
      <c r="F118" s="15"/>
      <c r="G118" s="15"/>
      <c r="H118" s="15"/>
      <c r="I118" s="15"/>
      <c r="J118" s="16"/>
      <c r="K118" s="15"/>
      <c r="L118" s="15"/>
      <c r="M118" s="15"/>
      <c r="N118" s="20"/>
      <c r="O118" s="64"/>
      <c r="Q118" s="17"/>
    </row>
    <row r="119" spans="2:17" s="11" customFormat="1" x14ac:dyDescent="0.25">
      <c r="C119" s="10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20"/>
      <c r="O119" s="64"/>
      <c r="Q119" s="17"/>
    </row>
    <row r="120" spans="2:17" x14ac:dyDescent="0.25">
      <c r="C120" s="10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20"/>
      <c r="O120" s="64"/>
      <c r="P120" s="15"/>
      <c r="Q120" s="17"/>
    </row>
  </sheetData>
  <hyperlinks>
    <hyperlink ref="I62" r:id="rId1" xr:uid="{00000000-0004-0000-0100-000000000000}"/>
    <hyperlink ref="I60" r:id="rId2" xr:uid="{00000000-0004-0000-0100-000001000000}"/>
    <hyperlink ref="I59" r:id="rId3" xr:uid="{00000000-0004-0000-0100-000002000000}"/>
    <hyperlink ref="C56" r:id="rId4" xr:uid="{00000000-0004-0000-0100-000003000000}"/>
    <hyperlink ref="I55" r:id="rId5" xr:uid="{00000000-0004-0000-0100-000004000000}"/>
    <hyperlink ref="I54" r:id="rId6" xr:uid="{00000000-0004-0000-0100-000005000000}"/>
    <hyperlink ref="I53" r:id="rId7" xr:uid="{00000000-0004-0000-0100-000006000000}"/>
    <hyperlink ref="I52" r:id="rId8" xr:uid="{00000000-0004-0000-0100-000007000000}"/>
    <hyperlink ref="I51" r:id="rId9" xr:uid="{00000000-0004-0000-0100-000008000000}"/>
    <hyperlink ref="I46" r:id="rId10" xr:uid="{00000000-0004-0000-0100-000009000000}"/>
    <hyperlink ref="I34" r:id="rId11" xr:uid="{00000000-0004-0000-0100-00000A000000}"/>
    <hyperlink ref="I33" r:id="rId12" xr:uid="{00000000-0004-0000-0100-00000B000000}"/>
    <hyperlink ref="I32" r:id="rId13" xr:uid="{00000000-0004-0000-0100-00000C000000}"/>
    <hyperlink ref="I31" r:id="rId14" xr:uid="{00000000-0004-0000-0100-00000D000000}"/>
    <hyperlink ref="I30" r:id="rId15" xr:uid="{00000000-0004-0000-0100-00000E000000}"/>
    <hyperlink ref="I29" r:id="rId16" xr:uid="{00000000-0004-0000-0100-00000F000000}"/>
    <hyperlink ref="I28" r:id="rId17" xr:uid="{00000000-0004-0000-0100-000010000000}"/>
    <hyperlink ref="I27" r:id="rId18" xr:uid="{F86ADA70-1AA6-4C88-820D-F957CE95615A}"/>
    <hyperlink ref="I26" r:id="rId19" xr:uid="{C02FF661-AD6A-4EB5-94AE-AD7815BC9FA1}"/>
    <hyperlink ref="I25" r:id="rId20" xr:uid="{DAEE284E-72DD-4D9B-84EE-60ADF537DAE2}"/>
    <hyperlink ref="I24" r:id="rId21" xr:uid="{1FAF3E62-97DC-435E-AF4D-8580560A07BD}"/>
    <hyperlink ref="I23" r:id="rId22" xr:uid="{C24B5B5E-2E12-4CE9-B7DA-B8D57DAB3FCE}"/>
    <hyperlink ref="I22" r:id="rId23" xr:uid="{606F9D95-628A-4FA8-B946-CB83082090E6}"/>
    <hyperlink ref="I20" r:id="rId24" xr:uid="{2F61331D-0591-40C4-A63E-328548623D2D}"/>
    <hyperlink ref="I19" r:id="rId25" xr:uid="{035BCD55-8C75-47C3-B0A7-BC6D38E9F429}"/>
    <hyperlink ref="I18" r:id="rId26" xr:uid="{BD32CE06-CBBC-4A65-A098-6C255E3473F7}"/>
    <hyperlink ref="I17" r:id="rId27" xr:uid="{90EC7A7F-4755-4D1E-B69F-E04B979E53BE}"/>
    <hyperlink ref="I16" r:id="rId28" xr:uid="{E3E34A05-A0A7-4616-8051-D99AB10922E4}"/>
    <hyperlink ref="I15" r:id="rId29" xr:uid="{5FA8E859-D7C1-4927-A7BF-35CDCE759FD5}"/>
    <hyperlink ref="I14" r:id="rId30" xr:uid="{AE7F330C-5E32-4807-A6FC-269376B6ECED}"/>
    <hyperlink ref="D14" r:id="rId31" display="mariposa20031@outlook.com" xr:uid="{83B6C617-9882-4241-882E-3B57C3B898DD}"/>
    <hyperlink ref="I10" r:id="rId32" xr:uid="{A59097FE-7719-4C32-B2BE-67BDC5141F5E}"/>
    <hyperlink ref="I9" r:id="rId33" xr:uid="{F4054E14-F764-48D8-9F6C-D28F920E280C}"/>
    <hyperlink ref="I8" r:id="rId34" xr:uid="{EAC43CFD-9057-44AB-83FB-AD19C98037A4}"/>
    <hyperlink ref="I6" r:id="rId35" xr:uid="{69A4F047-F5AC-4766-8B75-ABADE96F828D}"/>
    <hyperlink ref="I5" r:id="rId36" xr:uid="{515BBFF0-D2FE-42EE-8958-181E07EA3B9A}"/>
    <hyperlink ref="I4" r:id="rId37" xr:uid="{A22ACB86-E214-4911-9912-F8C83B6F2DF6}"/>
    <hyperlink ref="I61" r:id="rId38" xr:uid="{3BA21BFF-2F53-4EA3-89F3-1D9569357368}"/>
    <hyperlink ref="I58" r:id="rId39" xr:uid="{E2259674-7361-48C9-9262-9EFBAFA153D3}"/>
    <hyperlink ref="I57" r:id="rId40" xr:uid="{7CE48674-6277-4342-BA1C-BADD16E68B19}"/>
    <hyperlink ref="I50" r:id="rId41" xr:uid="{AF913FCE-653D-48CA-9F6A-D62EF10487BA}"/>
    <hyperlink ref="I49" r:id="rId42" xr:uid="{5DEAEC96-C620-46B8-8E61-B61648984DCA}"/>
    <hyperlink ref="I48" r:id="rId43" xr:uid="{F904F87F-C826-49BC-91C5-F3101C81D629}"/>
    <hyperlink ref="I45" r:id="rId44" xr:uid="{AD5077A6-5C0E-466C-A58E-E8C4DED453E0}"/>
    <hyperlink ref="I44" r:id="rId45" xr:uid="{B484C4A9-E3DE-48C6-8B71-A86A1DCDB199}"/>
    <hyperlink ref="I43" r:id="rId46" xr:uid="{4C5079D5-54BA-4235-8E38-E7609C66B611}"/>
    <hyperlink ref="I42" r:id="rId47" xr:uid="{680B36AB-34C8-46FA-AC5D-7F87D6F114F7}"/>
    <hyperlink ref="I41" r:id="rId48" xr:uid="{2541147B-5D3C-45BC-9314-DB8298C3DAB8}"/>
    <hyperlink ref="I40" r:id="rId49" xr:uid="{2A8FCFA0-8C35-4C6F-9C44-18832E94C85E}"/>
    <hyperlink ref="I39" r:id="rId50" xr:uid="{4B05BF30-CAFA-4A4B-AF12-35C0E86CD628}"/>
    <hyperlink ref="I38" r:id="rId51" xr:uid="{8581C617-8EE4-41E0-A7FA-67406EB8EDA0}"/>
    <hyperlink ref="I37" r:id="rId52" xr:uid="{EAE1D0F0-C94E-4915-836A-FA070EFFB013}"/>
    <hyperlink ref="I36" r:id="rId53" xr:uid="{F00A8D8B-8D6D-4508-96F7-3286857CC285}"/>
    <hyperlink ref="I35" r:id="rId54" xr:uid="{19421059-611A-4C5E-9704-A1BB2987CA9E}"/>
    <hyperlink ref="I21" r:id="rId55" xr:uid="{84AA2DB3-B5BB-4729-896C-D10DF8A1D7B2}"/>
    <hyperlink ref="I13" r:id="rId56" xr:uid="{E95690CD-23DC-4CE0-B218-71A455913A7F}"/>
    <hyperlink ref="I12" r:id="rId57" xr:uid="{B74D429A-F2B6-44F4-9D23-51F40B9C0E70}"/>
    <hyperlink ref="I11" r:id="rId58" xr:uid="{07B2099D-FDBF-4906-B1F4-21061AFD9FFC}"/>
  </hyperlinks>
  <pageMargins left="0.7" right="0.7" top="0.75" bottom="0.75" header="0.3" footer="0.3"/>
  <pageSetup paperSize="9" orientation="portrait" r:id="rId5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2:H37"/>
  <sheetViews>
    <sheetView workbookViewId="0">
      <selection activeCell="D15" sqref="D15"/>
    </sheetView>
  </sheetViews>
  <sheetFormatPr baseColWidth="10" defaultColWidth="11.42578125" defaultRowHeight="15" x14ac:dyDescent="0.25"/>
  <cols>
    <col min="1" max="1" width="11.42578125" style="1"/>
    <col min="2" max="2" width="29.42578125" style="1" customWidth="1"/>
    <col min="3" max="3" width="29.28515625" style="1" customWidth="1"/>
    <col min="4" max="16384" width="11.42578125" style="1"/>
  </cols>
  <sheetData>
    <row r="2" spans="1:8" x14ac:dyDescent="0.25">
      <c r="B2" s="39" t="s">
        <v>113</v>
      </c>
      <c r="C2" s="39" t="s">
        <v>112</v>
      </c>
      <c r="D2" s="39" t="s">
        <v>119</v>
      </c>
    </row>
    <row r="4" spans="1:8" x14ac:dyDescent="0.25">
      <c r="B4" s="1" t="s">
        <v>114</v>
      </c>
      <c r="C4" s="1" t="s">
        <v>108</v>
      </c>
      <c r="D4" s="1">
        <f>G4/H4</f>
        <v>560.34482758620686</v>
      </c>
      <c r="E4" s="1">
        <v>650</v>
      </c>
      <c r="F4" s="1">
        <f>E4-D4</f>
        <v>89.655172413793139</v>
      </c>
      <c r="G4" s="1">
        <v>16250</v>
      </c>
      <c r="H4" s="1">
        <v>29</v>
      </c>
    </row>
    <row r="5" spans="1:8" x14ac:dyDescent="0.25">
      <c r="A5" s="1">
        <v>1</v>
      </c>
      <c r="B5" s="1" t="s">
        <v>115</v>
      </c>
      <c r="C5" s="1" t="s">
        <v>109</v>
      </c>
      <c r="D5" s="1">
        <f>G5/H5</f>
        <v>1810.344827586207</v>
      </c>
      <c r="E5" s="1">
        <v>2100</v>
      </c>
      <c r="F5" s="1">
        <f>E5-D5</f>
        <v>289.65517241379303</v>
      </c>
      <c r="G5" s="1">
        <v>52500</v>
      </c>
      <c r="H5" s="1">
        <v>29</v>
      </c>
    </row>
    <row r="6" spans="1:8" x14ac:dyDescent="0.25">
      <c r="A6" s="1">
        <v>1</v>
      </c>
      <c r="B6" s="1" t="s">
        <v>116</v>
      </c>
      <c r="C6" s="1" t="s">
        <v>110</v>
      </c>
      <c r="D6" s="1">
        <f>G6/H6</f>
        <v>3017.2413793103447</v>
      </c>
      <c r="E6" s="1">
        <v>3500</v>
      </c>
      <c r="F6" s="1">
        <f>E6-D6</f>
        <v>482.75862068965534</v>
      </c>
      <c r="G6" s="1">
        <v>87500</v>
      </c>
      <c r="H6" s="1">
        <v>29</v>
      </c>
    </row>
    <row r="7" spans="1:8" x14ac:dyDescent="0.25">
      <c r="A7" s="1">
        <v>1</v>
      </c>
      <c r="B7" s="1" t="s">
        <v>117</v>
      </c>
      <c r="C7" s="1" t="s">
        <v>111</v>
      </c>
      <c r="D7" s="1">
        <f>G7/H7</f>
        <v>4310.3448275862065</v>
      </c>
      <c r="E7" s="1">
        <v>5000</v>
      </c>
      <c r="F7" s="1">
        <f>E7-D7</f>
        <v>689.65517241379348</v>
      </c>
      <c r="G7" s="1">
        <v>125000</v>
      </c>
      <c r="H7" s="1">
        <v>29</v>
      </c>
    </row>
    <row r="8" spans="1:8" x14ac:dyDescent="0.25">
      <c r="B8" s="1" t="s">
        <v>118</v>
      </c>
      <c r="C8" s="1" t="s">
        <v>107</v>
      </c>
      <c r="D8" s="1">
        <f>G8/H8</f>
        <v>431.0344827586207</v>
      </c>
      <c r="E8" s="1">
        <v>500</v>
      </c>
      <c r="F8" s="1">
        <f>E8-D8</f>
        <v>68.965517241379303</v>
      </c>
      <c r="G8" s="1">
        <v>12500</v>
      </c>
      <c r="H8" s="1">
        <v>29</v>
      </c>
    </row>
    <row r="9" spans="1:8" x14ac:dyDescent="0.25">
      <c r="B9" s="1" t="s">
        <v>120</v>
      </c>
      <c r="C9" s="1" t="s">
        <v>121</v>
      </c>
      <c r="D9" s="1">
        <v>-86.206999999999994</v>
      </c>
      <c r="E9" s="1">
        <v>-100</v>
      </c>
    </row>
    <row r="10" spans="1:8" x14ac:dyDescent="0.25">
      <c r="B10" s="1" t="s">
        <v>321</v>
      </c>
      <c r="C10" s="1" t="s">
        <v>296</v>
      </c>
      <c r="D10" s="1">
        <f t="shared" ref="D10:D24" si="0">G10/H10</f>
        <v>103.44827586206897</v>
      </c>
      <c r="E10" s="1">
        <v>120</v>
      </c>
      <c r="G10" s="1">
        <v>3000</v>
      </c>
      <c r="H10" s="1">
        <v>29</v>
      </c>
    </row>
    <row r="11" spans="1:8" x14ac:dyDescent="0.25">
      <c r="B11" s="1" t="s">
        <v>144</v>
      </c>
      <c r="C11" s="1" t="s">
        <v>145</v>
      </c>
      <c r="D11" s="1">
        <f t="shared" si="0"/>
        <v>94.827586206896555</v>
      </c>
      <c r="E11" s="1">
        <v>110</v>
      </c>
      <c r="G11" s="1">
        <v>2750</v>
      </c>
      <c r="H11" s="1">
        <v>29</v>
      </c>
    </row>
    <row r="12" spans="1:8" x14ac:dyDescent="0.25">
      <c r="B12" s="1" t="s">
        <v>147</v>
      </c>
      <c r="C12" s="1" t="s">
        <v>148</v>
      </c>
      <c r="D12" s="1">
        <f t="shared" si="0"/>
        <v>155.17241379310346</v>
      </c>
      <c r="E12" s="1">
        <v>180</v>
      </c>
      <c r="G12" s="1">
        <v>4500</v>
      </c>
      <c r="H12" s="1">
        <v>29</v>
      </c>
    </row>
    <row r="13" spans="1:8" x14ac:dyDescent="0.25">
      <c r="B13" s="1" t="s">
        <v>150</v>
      </c>
      <c r="C13" s="1" t="s">
        <v>379</v>
      </c>
      <c r="D13" s="1">
        <f t="shared" si="0"/>
        <v>0.86206896551724133</v>
      </c>
      <c r="G13" s="1">
        <v>25</v>
      </c>
      <c r="H13" s="1">
        <v>29</v>
      </c>
    </row>
    <row r="14" spans="1:8" x14ac:dyDescent="0.25">
      <c r="B14" s="1" t="s">
        <v>152</v>
      </c>
      <c r="C14" s="1" t="s">
        <v>153</v>
      </c>
      <c r="D14" s="1">
        <f t="shared" si="0"/>
        <v>206.89655172413794</v>
      </c>
      <c r="G14" s="1">
        <v>6000</v>
      </c>
      <c r="H14" s="1">
        <v>29</v>
      </c>
    </row>
    <row r="15" spans="1:8" x14ac:dyDescent="0.25">
      <c r="B15" s="1" t="s">
        <v>323</v>
      </c>
      <c r="C15" s="1" t="s">
        <v>324</v>
      </c>
      <c r="D15" s="1">
        <f t="shared" si="0"/>
        <v>301.72413793103448</v>
      </c>
      <c r="E15" s="1">
        <v>350</v>
      </c>
      <c r="G15" s="1">
        <v>8750</v>
      </c>
      <c r="H15" s="1">
        <v>29</v>
      </c>
    </row>
    <row r="16" spans="1:8" x14ac:dyDescent="0.25">
      <c r="A16" s="1">
        <v>1</v>
      </c>
      <c r="B16" s="1" t="s">
        <v>325</v>
      </c>
      <c r="C16" s="1" t="s">
        <v>329</v>
      </c>
      <c r="D16" s="1">
        <f t="shared" si="0"/>
        <v>258.62068965517244</v>
      </c>
      <c r="E16" s="1">
        <v>300</v>
      </c>
      <c r="G16" s="1">
        <v>7500</v>
      </c>
      <c r="H16" s="1">
        <v>29</v>
      </c>
    </row>
    <row r="17" spans="1:8" x14ac:dyDescent="0.25">
      <c r="A17" s="1">
        <v>1</v>
      </c>
      <c r="B17" s="1" t="s">
        <v>326</v>
      </c>
      <c r="C17" s="1" t="s">
        <v>330</v>
      </c>
      <c r="D17" s="1">
        <f t="shared" si="0"/>
        <v>362.06896551724139</v>
      </c>
      <c r="E17" s="1">
        <v>420</v>
      </c>
      <c r="G17" s="1">
        <v>10500</v>
      </c>
      <c r="H17" s="1">
        <v>29</v>
      </c>
    </row>
    <row r="18" spans="1:8" x14ac:dyDescent="0.25">
      <c r="A18" s="1">
        <v>1</v>
      </c>
      <c r="B18" s="1" t="s">
        <v>327</v>
      </c>
      <c r="C18" s="1" t="s">
        <v>331</v>
      </c>
      <c r="D18" s="1">
        <f t="shared" si="0"/>
        <v>448.27586206896552</v>
      </c>
      <c r="E18" s="1">
        <v>520</v>
      </c>
      <c r="G18" s="1">
        <v>13000</v>
      </c>
      <c r="H18" s="1">
        <v>29</v>
      </c>
    </row>
    <row r="19" spans="1:8" x14ac:dyDescent="0.25">
      <c r="A19" s="1">
        <v>1</v>
      </c>
      <c r="B19" s="1" t="s">
        <v>328</v>
      </c>
      <c r="C19" s="1" t="s">
        <v>332</v>
      </c>
      <c r="D19" s="1">
        <f t="shared" si="0"/>
        <v>517.24137931034488</v>
      </c>
      <c r="E19" s="1">
        <v>600</v>
      </c>
      <c r="G19" s="1">
        <v>15000</v>
      </c>
      <c r="H19" s="1">
        <v>29</v>
      </c>
    </row>
    <row r="20" spans="1:8" x14ac:dyDescent="0.25">
      <c r="A20" s="1">
        <v>1</v>
      </c>
      <c r="B20" s="1" t="s">
        <v>333</v>
      </c>
      <c r="C20" s="1" t="s">
        <v>337</v>
      </c>
      <c r="D20" s="1">
        <f t="shared" si="0"/>
        <v>172.41379310344828</v>
      </c>
      <c r="E20" s="1">
        <v>200</v>
      </c>
      <c r="G20" s="1">
        <v>5000</v>
      </c>
      <c r="H20" s="1">
        <v>29</v>
      </c>
    </row>
    <row r="21" spans="1:8" x14ac:dyDescent="0.25">
      <c r="A21" s="1">
        <v>1</v>
      </c>
      <c r="B21" s="1" t="s">
        <v>334</v>
      </c>
      <c r="C21" s="100" t="s">
        <v>338</v>
      </c>
      <c r="D21" s="1">
        <f t="shared" si="0"/>
        <v>258.62068965517244</v>
      </c>
      <c r="E21" s="1">
        <v>300</v>
      </c>
      <c r="G21" s="1">
        <v>7500</v>
      </c>
      <c r="H21" s="1">
        <v>29</v>
      </c>
    </row>
    <row r="22" spans="1:8" x14ac:dyDescent="0.25">
      <c r="A22" s="1">
        <v>1</v>
      </c>
      <c r="B22" s="100" t="s">
        <v>335</v>
      </c>
      <c r="C22" s="100" t="s">
        <v>339</v>
      </c>
      <c r="D22" s="1">
        <f t="shared" si="0"/>
        <v>344.82758620689657</v>
      </c>
      <c r="E22" s="1">
        <v>400</v>
      </c>
      <c r="G22" s="1">
        <v>10000</v>
      </c>
      <c r="H22" s="1">
        <v>29</v>
      </c>
    </row>
    <row r="23" spans="1:8" x14ac:dyDescent="0.25">
      <c r="A23" s="1">
        <v>1</v>
      </c>
      <c r="B23" s="100" t="s">
        <v>336</v>
      </c>
      <c r="C23" s="100" t="s">
        <v>340</v>
      </c>
      <c r="D23" s="1">
        <f t="shared" si="0"/>
        <v>387.93103448275861</v>
      </c>
      <c r="E23" s="1">
        <v>450</v>
      </c>
      <c r="G23" s="1">
        <v>11250</v>
      </c>
      <c r="H23" s="1">
        <v>29</v>
      </c>
    </row>
    <row r="24" spans="1:8" x14ac:dyDescent="0.25">
      <c r="A24" s="1">
        <v>1</v>
      </c>
      <c r="B24" s="1" t="s">
        <v>341</v>
      </c>
      <c r="C24" s="1" t="s">
        <v>342</v>
      </c>
      <c r="D24" s="1">
        <f t="shared" si="0"/>
        <v>215.51724137931035</v>
      </c>
      <c r="E24" s="1">
        <v>250</v>
      </c>
      <c r="G24" s="1">
        <v>6250</v>
      </c>
      <c r="H24" s="1">
        <v>29</v>
      </c>
    </row>
    <row r="25" spans="1:8" x14ac:dyDescent="0.25">
      <c r="B25" s="1" t="s">
        <v>376</v>
      </c>
      <c r="C25" s="1" t="s">
        <v>378</v>
      </c>
      <c r="D25" s="1">
        <v>0</v>
      </c>
      <c r="E25" s="1">
        <v>0</v>
      </c>
      <c r="G25" s="1">
        <v>0</v>
      </c>
      <c r="H25" s="1">
        <v>0</v>
      </c>
    </row>
    <row r="26" spans="1:8" x14ac:dyDescent="0.25">
      <c r="B26" s="1">
        <v>1</v>
      </c>
      <c r="C26" s="1" t="s">
        <v>457</v>
      </c>
      <c r="D26" s="1">
        <f>G26/H26</f>
        <v>21.551724137931036</v>
      </c>
      <c r="E26" s="1">
        <v>25</v>
      </c>
      <c r="G26" s="1">
        <v>625</v>
      </c>
      <c r="H26" s="1">
        <v>29</v>
      </c>
    </row>
    <row r="27" spans="1:8" x14ac:dyDescent="0.25">
      <c r="B27" s="1">
        <v>2</v>
      </c>
      <c r="C27" s="1" t="s">
        <v>456</v>
      </c>
      <c r="D27" s="221">
        <f t="shared" ref="D27:D37" si="1">G27/H27</f>
        <v>21.551724137931036</v>
      </c>
      <c r="E27" s="1">
        <v>25</v>
      </c>
      <c r="G27" s="221">
        <v>625</v>
      </c>
      <c r="H27" s="221">
        <v>29</v>
      </c>
    </row>
    <row r="28" spans="1:8" x14ac:dyDescent="0.25">
      <c r="B28" s="1">
        <v>3</v>
      </c>
      <c r="C28" s="1" t="s">
        <v>460</v>
      </c>
      <c r="D28" s="221">
        <f t="shared" si="1"/>
        <v>21.551724137931036</v>
      </c>
      <c r="E28" s="1">
        <v>25</v>
      </c>
      <c r="G28" s="221">
        <v>625</v>
      </c>
      <c r="H28" s="221">
        <v>29</v>
      </c>
    </row>
    <row r="29" spans="1:8" x14ac:dyDescent="0.25">
      <c r="B29" s="1">
        <v>4</v>
      </c>
      <c r="C29" s="1" t="s">
        <v>458</v>
      </c>
      <c r="D29" s="221">
        <f t="shared" si="1"/>
        <v>21.551724137931036</v>
      </c>
      <c r="E29" s="1">
        <v>25</v>
      </c>
      <c r="G29" s="221">
        <v>625</v>
      </c>
      <c r="H29" s="221">
        <v>29</v>
      </c>
    </row>
    <row r="30" spans="1:8" x14ac:dyDescent="0.25">
      <c r="B30" s="1">
        <v>5</v>
      </c>
      <c r="C30" s="1" t="s">
        <v>459</v>
      </c>
      <c r="D30" s="221">
        <f t="shared" si="1"/>
        <v>21.551724137931036</v>
      </c>
      <c r="E30" s="1">
        <v>25</v>
      </c>
      <c r="G30" s="221">
        <v>625</v>
      </c>
      <c r="H30" s="221">
        <v>29</v>
      </c>
    </row>
    <row r="31" spans="1:8" x14ac:dyDescent="0.25">
      <c r="B31" s="1" t="s">
        <v>461</v>
      </c>
      <c r="C31" s="1" t="s">
        <v>462</v>
      </c>
      <c r="D31" s="1">
        <f t="shared" si="1"/>
        <v>107.75862068965517</v>
      </c>
      <c r="E31" s="1">
        <v>125</v>
      </c>
      <c r="G31" s="1">
        <v>3125</v>
      </c>
      <c r="H31" s="1">
        <v>29</v>
      </c>
    </row>
    <row r="32" spans="1:8" x14ac:dyDescent="0.25">
      <c r="B32" s="1" t="s">
        <v>463</v>
      </c>
      <c r="C32" s="221" t="s">
        <v>457</v>
      </c>
      <c r="D32" s="1">
        <f t="shared" si="1"/>
        <v>17.241379310344829</v>
      </c>
      <c r="E32" s="1">
        <v>20</v>
      </c>
      <c r="G32" s="1">
        <v>500</v>
      </c>
      <c r="H32" s="1">
        <v>29</v>
      </c>
    </row>
    <row r="33" spans="2:8" x14ac:dyDescent="0.25">
      <c r="B33" s="1" t="s">
        <v>464</v>
      </c>
      <c r="C33" s="221" t="s">
        <v>456</v>
      </c>
      <c r="D33" s="221">
        <f t="shared" si="1"/>
        <v>17.241379310344829</v>
      </c>
      <c r="E33" s="221">
        <v>20</v>
      </c>
      <c r="G33" s="221">
        <v>500</v>
      </c>
      <c r="H33" s="221">
        <v>29</v>
      </c>
    </row>
    <row r="34" spans="2:8" x14ac:dyDescent="0.25">
      <c r="B34" s="1" t="s">
        <v>465</v>
      </c>
      <c r="C34" s="221" t="s">
        <v>460</v>
      </c>
      <c r="D34" s="221">
        <f t="shared" si="1"/>
        <v>17.241379310344829</v>
      </c>
      <c r="E34" s="221">
        <v>20</v>
      </c>
      <c r="G34" s="221">
        <v>500</v>
      </c>
      <c r="H34" s="221">
        <v>29</v>
      </c>
    </row>
    <row r="35" spans="2:8" x14ac:dyDescent="0.25">
      <c r="B35" s="1" t="s">
        <v>466</v>
      </c>
      <c r="C35" s="221" t="s">
        <v>458</v>
      </c>
      <c r="D35" s="221">
        <f t="shared" si="1"/>
        <v>17.241379310344829</v>
      </c>
      <c r="E35" s="221">
        <v>20</v>
      </c>
      <c r="G35" s="221">
        <v>500</v>
      </c>
      <c r="H35" s="221">
        <v>29</v>
      </c>
    </row>
    <row r="36" spans="2:8" x14ac:dyDescent="0.25">
      <c r="B36" s="1" t="s">
        <v>467</v>
      </c>
      <c r="C36" s="221" t="s">
        <v>459</v>
      </c>
      <c r="D36" s="221">
        <f t="shared" si="1"/>
        <v>17.241379310344829</v>
      </c>
      <c r="E36" s="221">
        <v>20</v>
      </c>
      <c r="G36" s="221">
        <v>500</v>
      </c>
      <c r="H36" s="221">
        <v>29</v>
      </c>
    </row>
    <row r="37" spans="2:8" x14ac:dyDescent="0.25">
      <c r="B37" s="1" t="s">
        <v>468</v>
      </c>
      <c r="C37" s="221" t="s">
        <v>462</v>
      </c>
      <c r="D37" s="1">
        <f t="shared" si="1"/>
        <v>77.58620689655173</v>
      </c>
      <c r="E37" s="1">
        <v>90</v>
      </c>
      <c r="G37" s="1">
        <v>2250</v>
      </c>
      <c r="H37" s="1">
        <v>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4065-A639-43C2-9F09-C7CA55452A85}">
  <dimension ref="A1"/>
  <sheetViews>
    <sheetView workbookViewId="0">
      <selection activeCell="F6" sqref="F6"/>
    </sheetView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pageSetUpPr fitToPage="1"/>
  </sheetPr>
  <dimension ref="B1:I1861"/>
  <sheetViews>
    <sheetView zoomScale="110" zoomScaleNormal="110" workbookViewId="0">
      <selection activeCell="B1" sqref="B1:G25"/>
    </sheetView>
  </sheetViews>
  <sheetFormatPr baseColWidth="10" defaultColWidth="11.42578125" defaultRowHeight="15" x14ac:dyDescent="0.25"/>
  <cols>
    <col min="3" max="3" width="22.42578125" customWidth="1"/>
  </cols>
  <sheetData>
    <row r="1" spans="2:7" x14ac:dyDescent="0.25">
      <c r="B1" s="236"/>
      <c r="C1" s="236"/>
      <c r="D1" s="236"/>
      <c r="E1" s="236"/>
      <c r="F1" s="236"/>
      <c r="G1" s="236"/>
    </row>
    <row r="2" spans="2:7" x14ac:dyDescent="0.25">
      <c r="B2" s="236"/>
      <c r="C2" s="250" t="s">
        <v>22</v>
      </c>
      <c r="D2" s="250"/>
      <c r="E2" s="42"/>
      <c r="F2" s="250"/>
      <c r="G2" s="250"/>
    </row>
    <row r="3" spans="2:7" x14ac:dyDescent="0.25">
      <c r="B3" s="236"/>
      <c r="C3" s="251"/>
      <c r="D3" s="251"/>
      <c r="E3" s="236"/>
      <c r="F3" s="43"/>
      <c r="G3" s="236"/>
    </row>
    <row r="4" spans="2:7" x14ac:dyDescent="0.25">
      <c r="B4" s="236"/>
      <c r="C4" s="27" t="s">
        <v>138</v>
      </c>
      <c r="D4" s="225">
        <v>42</v>
      </c>
      <c r="E4" s="239" t="s">
        <v>125</v>
      </c>
      <c r="F4" s="56">
        <v>76</v>
      </c>
      <c r="G4" s="236"/>
    </row>
    <row r="5" spans="2:7" x14ac:dyDescent="0.25">
      <c r="B5" s="236"/>
      <c r="C5" s="29" t="s">
        <v>91</v>
      </c>
      <c r="D5" s="238">
        <f>IFERROR(VLOOKUP(D4,'DATOS REGISTRADOS'!B:Q,16,FALSE)," ")</f>
        <v>32</v>
      </c>
      <c r="E5" s="30" t="s">
        <v>78</v>
      </c>
      <c r="F5" s="31">
        <f ca="1">TODAY()</f>
        <v>44377</v>
      </c>
      <c r="G5" s="236"/>
    </row>
    <row r="6" spans="2:7" x14ac:dyDescent="0.25">
      <c r="B6" s="255" t="s">
        <v>79</v>
      </c>
      <c r="C6" s="256"/>
      <c r="D6" s="256"/>
      <c r="E6" s="256"/>
      <c r="F6" s="256"/>
      <c r="G6" s="256"/>
    </row>
    <row r="7" spans="2:7" x14ac:dyDescent="0.25">
      <c r="B7" s="239" t="s">
        <v>80</v>
      </c>
      <c r="C7" s="257" t="str">
        <f>IFERROR(VLOOKUP(D4,'DATOS REGISTRADOS'!B:C,2,FALSE)," ")</f>
        <v>Martin Valentin Lazaro</v>
      </c>
      <c r="D7" s="257"/>
      <c r="E7" s="258"/>
      <c r="F7" s="258"/>
      <c r="G7" s="258"/>
    </row>
    <row r="8" spans="2:7" x14ac:dyDescent="0.25">
      <c r="B8" s="237" t="s">
        <v>81</v>
      </c>
      <c r="C8" s="259" t="str">
        <f>IFERROR(VLOOKUP(D4,'DATOS REGISTRADOS'!B:Q,3,FALSE)," ")</f>
        <v>M.M del llano# 1507 ote. entre julian villareal y heroes del 47</v>
      </c>
      <c r="D8" s="260"/>
      <c r="E8" s="35" t="s">
        <v>82</v>
      </c>
      <c r="F8" s="261">
        <f>IFERROR(VLOOKUP(D4,'DATOS REGISTRADOS'!B:Q,7,FALSE)," ")</f>
        <v>0</v>
      </c>
      <c r="G8" s="261"/>
    </row>
    <row r="9" spans="2:7" x14ac:dyDescent="0.25">
      <c r="B9" s="236"/>
      <c r="C9" s="243" t="str">
        <f>IFERROR(VLOOKUP(D4,'DATOS REGISTRADOS'!B:Q,4,FALSE)," ")</f>
        <v xml:space="preserve"> col.centro, Apodaca</v>
      </c>
      <c r="D9" s="244"/>
      <c r="E9" s="236"/>
      <c r="F9" s="236"/>
      <c r="G9" s="236"/>
    </row>
    <row r="10" spans="2:7" x14ac:dyDescent="0.25">
      <c r="B10" s="236"/>
      <c r="C10" s="243"/>
      <c r="D10" s="244"/>
      <c r="E10" s="236">
        <f>IFERROR(VLOOKUP(D4,'DATOS REGISTRADOS'!B:Q,16,FALSE)," ")</f>
        <v>32</v>
      </c>
      <c r="F10" s="236">
        <f>IFERROR(VLOOKUP(E10,'DATOS REGISTRADOS'!B:Q,16,FALSE)," ")</f>
        <v>23</v>
      </c>
      <c r="G10" s="236">
        <f>IFERROR(VLOOKUP(F10,'DATOS REGISTRADOS'!B:Q,16,FALSE)," ")</f>
        <v>11</v>
      </c>
    </row>
    <row r="11" spans="2:7" x14ac:dyDescent="0.25">
      <c r="B11" s="236"/>
      <c r="C11" s="66" t="str">
        <f>IFERROR(VLOOKUP(D4,'DATOS REGISTRADOS'!B:Q,5,FALSE)," ")</f>
        <v>NL</v>
      </c>
      <c r="D11" s="67">
        <f>IFERROR(VLOOKUP(D4,'DATOS REGISTRADOS'!B:Q,6,FALSE)," ")</f>
        <v>64000</v>
      </c>
      <c r="E11" s="236" t="s">
        <v>373</v>
      </c>
      <c r="F11" s="236" t="s">
        <v>374</v>
      </c>
      <c r="G11" s="236" t="s">
        <v>375</v>
      </c>
    </row>
    <row r="12" spans="2:7" x14ac:dyDescent="0.25">
      <c r="B12" s="256" t="s">
        <v>83</v>
      </c>
      <c r="C12" s="262"/>
      <c r="D12" s="262"/>
      <c r="E12" s="256"/>
      <c r="F12" s="256"/>
      <c r="G12" s="256"/>
    </row>
    <row r="13" spans="2:7" x14ac:dyDescent="0.25">
      <c r="B13" s="239"/>
      <c r="C13" s="239" t="s">
        <v>86</v>
      </c>
      <c r="D13" s="249"/>
      <c r="E13" s="249"/>
      <c r="F13" s="239" t="s">
        <v>87</v>
      </c>
      <c r="G13" s="239" t="s">
        <v>57</v>
      </c>
    </row>
    <row r="14" spans="2:7" x14ac:dyDescent="0.25">
      <c r="B14" s="225" t="s">
        <v>126</v>
      </c>
      <c r="C14" s="225">
        <v>1</v>
      </c>
      <c r="D14" s="241" t="str">
        <f>IFERROR(VLOOKUP(B14,'Productos '!B:C,2,FALSE)," ")</f>
        <v>Recompra 1 Activador Celular</v>
      </c>
      <c r="E14" s="242"/>
      <c r="F14" s="40">
        <f>IFERROR(VLOOKUP(B14,'Productos '!B:G,3,FALSE)," ")</f>
        <v>431.0344827586207</v>
      </c>
      <c r="G14" s="40">
        <f t="shared" ref="G14:G21" si="0">IFERROR((F14*C14)," ")</f>
        <v>431.0344827586207</v>
      </c>
    </row>
    <row r="15" spans="2:7" x14ac:dyDescent="0.25">
      <c r="B15" s="225" t="s">
        <v>323</v>
      </c>
      <c r="C15" s="225">
        <v>4</v>
      </c>
      <c r="D15" s="241" t="str">
        <f>IFERROR(VLOOKUP(B15,'Productos '!B:C,2,FALSE)," ")</f>
        <v>Promoción ActiCell</v>
      </c>
      <c r="E15" s="242"/>
      <c r="F15" s="40">
        <f>IFERROR(VLOOKUP(B15,'Productos '!B:G,3,FALSE)," ")</f>
        <v>301.72413793103448</v>
      </c>
      <c r="G15" s="40">
        <f t="shared" si="0"/>
        <v>1206.8965517241379</v>
      </c>
    </row>
    <row r="16" spans="2:7" x14ac:dyDescent="0.25">
      <c r="B16" s="225" t="s">
        <v>321</v>
      </c>
      <c r="C16" s="225"/>
      <c r="D16" s="241" t="str">
        <f>IFERROR(VLOOKUP(B16,'Productos '!B:C,2,FALSE)," ")</f>
        <v>Envio</v>
      </c>
      <c r="E16" s="242"/>
      <c r="F16" s="40">
        <f>IFERROR(VLOOKUP(B16,'Productos '!B:G,3,FALSE)," ")</f>
        <v>103.44827586206897</v>
      </c>
      <c r="G16" s="40">
        <f t="shared" si="0"/>
        <v>0</v>
      </c>
    </row>
    <row r="17" spans="2:7" x14ac:dyDescent="0.25">
      <c r="B17" s="225"/>
      <c r="C17" s="225"/>
      <c r="D17" s="241" t="str">
        <f>IFERROR(VLOOKUP(B17,'Productos '!B:C,2,FALSE)," ")</f>
        <v xml:space="preserve"> </v>
      </c>
      <c r="E17" s="242"/>
      <c r="F17" s="40" t="str">
        <f>IFERROR(VLOOKUP(B17,'Productos '!B:G,3,FALSE)," ")</f>
        <v xml:space="preserve"> </v>
      </c>
      <c r="G17" s="40" t="str">
        <f t="shared" si="0"/>
        <v xml:space="preserve"> </v>
      </c>
    </row>
    <row r="18" spans="2:7" x14ac:dyDescent="0.25">
      <c r="B18" s="225"/>
      <c r="C18" s="225"/>
      <c r="D18" s="241" t="str">
        <f>IFERROR(VLOOKUP(B18,'Productos '!B:C,2,FALSE)," ")</f>
        <v xml:space="preserve"> </v>
      </c>
      <c r="E18" s="242"/>
      <c r="F18" s="40" t="str">
        <f>IFERROR(VLOOKUP(B18,'Productos '!B:G,3,FALSE)," ")</f>
        <v xml:space="preserve"> </v>
      </c>
      <c r="G18" s="40" t="str">
        <f t="shared" si="0"/>
        <v xml:space="preserve"> </v>
      </c>
    </row>
    <row r="19" spans="2:7" x14ac:dyDescent="0.25">
      <c r="B19" s="225"/>
      <c r="C19" s="225"/>
      <c r="D19" s="241" t="str">
        <f>IFERROR(VLOOKUP(B19,'Productos '!B:C,2,FALSE)," ")</f>
        <v xml:space="preserve"> </v>
      </c>
      <c r="E19" s="242"/>
      <c r="F19" s="40" t="str">
        <f>IFERROR(VLOOKUP(B19,'Productos '!B:G,3,FALSE)," ")</f>
        <v xml:space="preserve"> </v>
      </c>
      <c r="G19" s="40" t="str">
        <f t="shared" si="0"/>
        <v xml:space="preserve"> </v>
      </c>
    </row>
    <row r="20" spans="2:7" x14ac:dyDescent="0.25">
      <c r="B20" s="225"/>
      <c r="C20" s="225"/>
      <c r="D20" s="241" t="str">
        <f>IFERROR(VLOOKUP(B20,'Productos '!B:C,2,FALSE)," ")</f>
        <v xml:space="preserve"> </v>
      </c>
      <c r="E20" s="242"/>
      <c r="F20" s="40" t="str">
        <f>IFERROR(VLOOKUP(B20,'Productos '!B:G,3,FALSE)," ")</f>
        <v xml:space="preserve"> </v>
      </c>
      <c r="G20" s="40" t="str">
        <f t="shared" si="0"/>
        <v xml:space="preserve"> </v>
      </c>
    </row>
    <row r="21" spans="2:7" x14ac:dyDescent="0.25">
      <c r="B21" s="225"/>
      <c r="C21" s="225"/>
      <c r="D21" s="241" t="str">
        <f>IFERROR(VLOOKUP(B21,'Productos '!B:C,2,FALSE)," ")</f>
        <v xml:space="preserve"> </v>
      </c>
      <c r="E21" s="242"/>
      <c r="F21" s="40" t="str">
        <f>IFERROR(VLOOKUP(B21,'Productos '!B:G,3,FALSE)," ")</f>
        <v xml:space="preserve"> </v>
      </c>
      <c r="G21" s="40" t="str">
        <f t="shared" si="0"/>
        <v xml:space="preserve"> </v>
      </c>
    </row>
    <row r="22" spans="2:7" x14ac:dyDescent="0.25">
      <c r="B22" s="236"/>
      <c r="C22" s="224">
        <f>SUM(C14:C21)</f>
        <v>5</v>
      </c>
      <c r="D22" s="253" t="s">
        <v>88</v>
      </c>
      <c r="E22" s="254"/>
      <c r="F22" s="239" t="s">
        <v>89</v>
      </c>
      <c r="G22" s="40">
        <f>SUM(G14:G21)</f>
        <v>1637.9310344827586</v>
      </c>
    </row>
    <row r="23" spans="2:7" x14ac:dyDescent="0.25">
      <c r="B23" s="236"/>
      <c r="C23" s="236"/>
      <c r="D23" s="236"/>
      <c r="E23" s="236"/>
      <c r="F23" s="239" t="s">
        <v>90</v>
      </c>
      <c r="G23" s="40">
        <f>G22*16%</f>
        <v>262.06896551724139</v>
      </c>
    </row>
    <row r="24" spans="2:7" x14ac:dyDescent="0.25">
      <c r="B24" s="239" t="s">
        <v>91</v>
      </c>
      <c r="C24" s="241" t="str">
        <f>IFERROR(VLOOKUP(D4,'DATOS REGISTRADOS'!B:R,17,FALSE)," ")</f>
        <v>Teresa Rivera Cortez</v>
      </c>
      <c r="D24" s="252"/>
      <c r="E24" s="242"/>
      <c r="F24" s="239" t="s">
        <v>57</v>
      </c>
      <c r="G24" s="68">
        <f>SUM(G22:G23)</f>
        <v>1900</v>
      </c>
    </row>
    <row r="25" spans="2:7" x14ac:dyDescent="0.25">
      <c r="B25" s="245" t="s">
        <v>343</v>
      </c>
      <c r="C25" s="245"/>
      <c r="D25" s="245"/>
      <c r="E25" s="245"/>
      <c r="F25" s="245"/>
      <c r="G25" s="245"/>
    </row>
    <row r="28" spans="2:7" x14ac:dyDescent="0.25">
      <c r="B28" s="236"/>
      <c r="C28" s="236"/>
      <c r="D28" s="236"/>
      <c r="E28" s="236"/>
      <c r="F28" s="236"/>
      <c r="G28" s="236"/>
    </row>
    <row r="29" spans="2:7" x14ac:dyDescent="0.25">
      <c r="B29" s="236"/>
      <c r="C29" s="250" t="s">
        <v>22</v>
      </c>
      <c r="D29" s="250"/>
      <c r="E29" s="42"/>
      <c r="F29" s="250"/>
      <c r="G29" s="250"/>
    </row>
    <row r="30" spans="2:7" x14ac:dyDescent="0.25">
      <c r="B30" s="236"/>
      <c r="C30" s="251"/>
      <c r="D30" s="251"/>
      <c r="E30" s="236"/>
      <c r="F30" s="43"/>
      <c r="G30" s="236"/>
    </row>
    <row r="31" spans="2:7" x14ac:dyDescent="0.25">
      <c r="B31" s="236"/>
      <c r="C31" s="27" t="s">
        <v>138</v>
      </c>
      <c r="D31" s="225">
        <v>54</v>
      </c>
      <c r="E31" s="239" t="s">
        <v>125</v>
      </c>
      <c r="F31" s="56">
        <v>75</v>
      </c>
      <c r="G31" s="236"/>
    </row>
    <row r="32" spans="2:7" x14ac:dyDescent="0.25">
      <c r="B32" s="236"/>
      <c r="C32" s="29" t="s">
        <v>91</v>
      </c>
      <c r="D32" s="238">
        <f>IFERROR(VLOOKUP(D31,'DATOS REGISTRADOS'!B:Q,16,FALSE)," ")</f>
        <v>32</v>
      </c>
      <c r="E32" s="30" t="s">
        <v>78</v>
      </c>
      <c r="F32" s="31">
        <f ca="1">TODAY()</f>
        <v>44377</v>
      </c>
      <c r="G32" s="236"/>
    </row>
    <row r="33" spans="2:7" x14ac:dyDescent="0.25">
      <c r="B33" s="255" t="s">
        <v>79</v>
      </c>
      <c r="C33" s="256"/>
      <c r="D33" s="256"/>
      <c r="E33" s="256"/>
      <c r="F33" s="256"/>
      <c r="G33" s="256"/>
    </row>
    <row r="34" spans="2:7" x14ac:dyDescent="0.25">
      <c r="B34" s="239" t="s">
        <v>80</v>
      </c>
      <c r="C34" s="257" t="str">
        <f>IFERROR(VLOOKUP(D31,'DATOS REGISTRADOS'!B:C,2,FALSE)," ")</f>
        <v>Teresa Abigail Olvera Rivera</v>
      </c>
      <c r="D34" s="257"/>
      <c r="E34" s="258"/>
      <c r="F34" s="258"/>
      <c r="G34" s="258"/>
    </row>
    <row r="35" spans="2:7" x14ac:dyDescent="0.25">
      <c r="B35" s="237" t="s">
        <v>81</v>
      </c>
      <c r="C35" s="259" t="str">
        <f>IFERROR(VLOOKUP(D31,'DATOS REGISTRADOS'!B:Q,3,FALSE)," ")</f>
        <v>Rey Fernando de Aragón 739 entre Cristóbal Colón y puerto de palos</v>
      </c>
      <c r="D35" s="260"/>
      <c r="E35" s="35" t="s">
        <v>82</v>
      </c>
      <c r="F35" s="261">
        <f>IFERROR(VLOOKUP(D31,'DATOS REGISTRADOS'!B:Q,7,FALSE)," ")</f>
        <v>8127319013</v>
      </c>
      <c r="G35" s="261"/>
    </row>
    <row r="36" spans="2:7" x14ac:dyDescent="0.25">
      <c r="B36" s="236"/>
      <c r="C36" s="243" t="str">
        <f>IFERROR(VLOOKUP(D31,'DATOS REGISTRADOS'!B:Q,4,FALSE)," ")</f>
        <v>colonia quinto centenario general Escobedo</v>
      </c>
      <c r="D36" s="244"/>
      <c r="E36" s="236"/>
      <c r="F36" s="236"/>
      <c r="G36" s="236"/>
    </row>
    <row r="37" spans="2:7" x14ac:dyDescent="0.25">
      <c r="B37" s="236"/>
      <c r="C37" s="243"/>
      <c r="D37" s="244"/>
      <c r="E37" s="236">
        <f>IFERROR(VLOOKUP(D31,'DATOS REGISTRADOS'!B:Q,16,FALSE)," ")</f>
        <v>32</v>
      </c>
      <c r="F37" s="236">
        <f>IFERROR(VLOOKUP(E37,'DATOS REGISTRADOS'!B:Q,16,FALSE)," ")</f>
        <v>23</v>
      </c>
      <c r="G37" s="236">
        <f>IFERROR(VLOOKUP(F37,'DATOS REGISTRADOS'!B:Q,16,FALSE)," ")</f>
        <v>11</v>
      </c>
    </row>
    <row r="38" spans="2:7" x14ac:dyDescent="0.25">
      <c r="B38" s="236"/>
      <c r="C38" s="66" t="str">
        <f>IFERROR(VLOOKUP(D31,'DATOS REGISTRADOS'!B:Q,5,FALSE)," ")</f>
        <v>Nuevo Leon</v>
      </c>
      <c r="D38" s="67">
        <f>IFERROR(VLOOKUP(D31,'DATOS REGISTRADOS'!B:Q,6,FALSE)," ")</f>
        <v>66072</v>
      </c>
      <c r="E38" s="236" t="s">
        <v>373</v>
      </c>
      <c r="F38" s="236" t="s">
        <v>374</v>
      </c>
      <c r="G38" s="236" t="s">
        <v>375</v>
      </c>
    </row>
    <row r="39" spans="2:7" x14ac:dyDescent="0.25">
      <c r="B39" s="256" t="s">
        <v>83</v>
      </c>
      <c r="C39" s="262"/>
      <c r="D39" s="262"/>
      <c r="E39" s="256"/>
      <c r="F39" s="256"/>
      <c r="G39" s="256"/>
    </row>
    <row r="40" spans="2:7" x14ac:dyDescent="0.25">
      <c r="B40" s="239"/>
      <c r="C40" s="239" t="s">
        <v>86</v>
      </c>
      <c r="D40" s="249"/>
      <c r="E40" s="249"/>
      <c r="F40" s="239" t="s">
        <v>87</v>
      </c>
      <c r="G40" s="239" t="s">
        <v>57</v>
      </c>
    </row>
    <row r="41" spans="2:7" x14ac:dyDescent="0.25">
      <c r="B41" s="225" t="s">
        <v>126</v>
      </c>
      <c r="C41" s="225">
        <v>1</v>
      </c>
      <c r="D41" s="241" t="str">
        <f>IFERROR(VLOOKUP(B41,'Productos '!B:C,2,FALSE)," ")</f>
        <v>Recompra 1 Activador Celular</v>
      </c>
      <c r="E41" s="242"/>
      <c r="F41" s="40">
        <f>IFERROR(VLOOKUP(B41,'Productos '!B:G,3,FALSE)," ")</f>
        <v>431.0344827586207</v>
      </c>
      <c r="G41" s="40">
        <f t="shared" ref="G41:G48" si="1">IFERROR((F41*C41)," ")</f>
        <v>431.0344827586207</v>
      </c>
    </row>
    <row r="42" spans="2:7" x14ac:dyDescent="0.25">
      <c r="B42" s="225" t="s">
        <v>323</v>
      </c>
      <c r="C42" s="225">
        <v>4</v>
      </c>
      <c r="D42" s="241" t="str">
        <f>IFERROR(VLOOKUP(B42,'Productos '!B:C,2,FALSE)," ")</f>
        <v>Promoción ActiCell</v>
      </c>
      <c r="E42" s="242"/>
      <c r="F42" s="40">
        <f>IFERROR(VLOOKUP(B42,'Productos '!B:G,3,FALSE)," ")</f>
        <v>301.72413793103448</v>
      </c>
      <c r="G42" s="40">
        <f t="shared" si="1"/>
        <v>1206.8965517241379</v>
      </c>
    </row>
    <row r="43" spans="2:7" x14ac:dyDescent="0.25">
      <c r="B43" s="225" t="s">
        <v>321</v>
      </c>
      <c r="C43" s="225"/>
      <c r="D43" s="241" t="str">
        <f>IFERROR(VLOOKUP(B43,'Productos '!B:C,2,FALSE)," ")</f>
        <v>Envio</v>
      </c>
      <c r="E43" s="242"/>
      <c r="F43" s="40">
        <f>IFERROR(VLOOKUP(B43,'Productos '!B:G,3,FALSE)," ")</f>
        <v>103.44827586206897</v>
      </c>
      <c r="G43" s="40">
        <f t="shared" si="1"/>
        <v>0</v>
      </c>
    </row>
    <row r="44" spans="2:7" x14ac:dyDescent="0.25">
      <c r="B44" s="225"/>
      <c r="C44" s="225"/>
      <c r="D44" s="241" t="str">
        <f>IFERROR(VLOOKUP(B44,'Productos '!B:C,2,FALSE)," ")</f>
        <v xml:space="preserve"> </v>
      </c>
      <c r="E44" s="242"/>
      <c r="F44" s="40" t="str">
        <f>IFERROR(VLOOKUP(B44,'Productos '!B:G,3,FALSE)," ")</f>
        <v xml:space="preserve"> </v>
      </c>
      <c r="G44" s="40" t="str">
        <f t="shared" si="1"/>
        <v xml:space="preserve"> </v>
      </c>
    </row>
    <row r="45" spans="2:7" x14ac:dyDescent="0.25">
      <c r="B45" s="225"/>
      <c r="C45" s="225"/>
      <c r="D45" s="241" t="str">
        <f>IFERROR(VLOOKUP(B45,'Productos '!B:C,2,FALSE)," ")</f>
        <v xml:space="preserve"> </v>
      </c>
      <c r="E45" s="242"/>
      <c r="F45" s="40" t="str">
        <f>IFERROR(VLOOKUP(B45,'Productos '!B:G,3,FALSE)," ")</f>
        <v xml:space="preserve"> </v>
      </c>
      <c r="G45" s="40" t="str">
        <f t="shared" si="1"/>
        <v xml:space="preserve"> </v>
      </c>
    </row>
    <row r="46" spans="2:7" x14ac:dyDescent="0.25">
      <c r="B46" s="225"/>
      <c r="C46" s="225"/>
      <c r="D46" s="241" t="str">
        <f>IFERROR(VLOOKUP(B46,'Productos '!B:C,2,FALSE)," ")</f>
        <v xml:space="preserve"> </v>
      </c>
      <c r="E46" s="242"/>
      <c r="F46" s="40" t="str">
        <f>IFERROR(VLOOKUP(B46,'Productos '!B:G,3,FALSE)," ")</f>
        <v xml:space="preserve"> </v>
      </c>
      <c r="G46" s="40" t="str">
        <f t="shared" si="1"/>
        <v xml:space="preserve"> </v>
      </c>
    </row>
    <row r="47" spans="2:7" x14ac:dyDescent="0.25">
      <c r="B47" s="225"/>
      <c r="C47" s="225"/>
      <c r="D47" s="241" t="str">
        <f>IFERROR(VLOOKUP(B47,'Productos '!B:C,2,FALSE)," ")</f>
        <v xml:space="preserve"> </v>
      </c>
      <c r="E47" s="242"/>
      <c r="F47" s="40" t="str">
        <f>IFERROR(VLOOKUP(B47,'Productos '!B:G,3,FALSE)," ")</f>
        <v xml:space="preserve"> </v>
      </c>
      <c r="G47" s="40" t="str">
        <f t="shared" si="1"/>
        <v xml:space="preserve"> </v>
      </c>
    </row>
    <row r="48" spans="2:7" x14ac:dyDescent="0.25">
      <c r="B48" s="225"/>
      <c r="C48" s="225"/>
      <c r="D48" s="241" t="str">
        <f>IFERROR(VLOOKUP(B48,'Productos '!B:C,2,FALSE)," ")</f>
        <v xml:space="preserve"> </v>
      </c>
      <c r="E48" s="242"/>
      <c r="F48" s="40" t="str">
        <f>IFERROR(VLOOKUP(B48,'Productos '!B:G,3,FALSE)," ")</f>
        <v xml:space="preserve"> </v>
      </c>
      <c r="G48" s="40" t="str">
        <f t="shared" si="1"/>
        <v xml:space="preserve"> </v>
      </c>
    </row>
    <row r="49" spans="2:7" x14ac:dyDescent="0.25">
      <c r="B49" s="236"/>
      <c r="C49" s="224">
        <f>SUM(C41:C48)</f>
        <v>5</v>
      </c>
      <c r="D49" s="253" t="s">
        <v>88</v>
      </c>
      <c r="E49" s="254"/>
      <c r="F49" s="239" t="s">
        <v>89</v>
      </c>
      <c r="G49" s="40">
        <f>SUM(G41:G48)</f>
        <v>1637.9310344827586</v>
      </c>
    </row>
    <row r="50" spans="2:7" x14ac:dyDescent="0.25">
      <c r="B50" s="236"/>
      <c r="C50" s="236"/>
      <c r="D50" s="236"/>
      <c r="E50" s="236"/>
      <c r="F50" s="239" t="s">
        <v>90</v>
      </c>
      <c r="G50" s="40">
        <f>G49*16%</f>
        <v>262.06896551724139</v>
      </c>
    </row>
    <row r="51" spans="2:7" x14ac:dyDescent="0.25">
      <c r="B51" s="239" t="s">
        <v>91</v>
      </c>
      <c r="C51" s="241" t="str">
        <f>IFERROR(VLOOKUP(D31,'DATOS REGISTRADOS'!B:R,17,FALSE)," ")</f>
        <v>Teresa Rivera Cortez</v>
      </c>
      <c r="D51" s="252"/>
      <c r="E51" s="242"/>
      <c r="F51" s="239" t="s">
        <v>57</v>
      </c>
      <c r="G51" s="68">
        <f>SUM(G49:G50)</f>
        <v>1900</v>
      </c>
    </row>
    <row r="52" spans="2:7" x14ac:dyDescent="0.25">
      <c r="B52" s="245" t="s">
        <v>343</v>
      </c>
      <c r="C52" s="245"/>
      <c r="D52" s="245"/>
      <c r="E52" s="245"/>
      <c r="F52" s="245"/>
      <c r="G52" s="245"/>
    </row>
    <row r="55" spans="2:7" x14ac:dyDescent="0.25">
      <c r="B55" s="233"/>
      <c r="C55" s="233"/>
      <c r="D55" s="233"/>
      <c r="E55" s="233"/>
      <c r="F55" s="233"/>
      <c r="G55" s="233"/>
    </row>
    <row r="56" spans="2:7" x14ac:dyDescent="0.25">
      <c r="B56" s="233"/>
      <c r="C56" s="250" t="s">
        <v>22</v>
      </c>
      <c r="D56" s="250"/>
      <c r="E56" s="42"/>
      <c r="F56" s="250"/>
      <c r="G56" s="250"/>
    </row>
    <row r="57" spans="2:7" x14ac:dyDescent="0.25">
      <c r="B57" s="233"/>
      <c r="C57" s="251"/>
      <c r="D57" s="251"/>
      <c r="E57" s="233"/>
      <c r="F57" s="43"/>
      <c r="G57" s="233"/>
    </row>
    <row r="58" spans="2:7" x14ac:dyDescent="0.25">
      <c r="B58" s="233"/>
      <c r="C58" s="27" t="s">
        <v>138</v>
      </c>
      <c r="D58" s="225">
        <v>42</v>
      </c>
      <c r="E58" s="232" t="s">
        <v>125</v>
      </c>
      <c r="F58" s="56">
        <v>74</v>
      </c>
      <c r="G58" s="233"/>
    </row>
    <row r="59" spans="2:7" x14ac:dyDescent="0.25">
      <c r="B59" s="233"/>
      <c r="C59" s="29" t="s">
        <v>91</v>
      </c>
      <c r="D59" s="235">
        <f>IFERROR(VLOOKUP(D58,'DATOS REGISTRADOS'!B:Q,16,FALSE)," ")</f>
        <v>32</v>
      </c>
      <c r="E59" s="30" t="s">
        <v>78</v>
      </c>
      <c r="F59" s="31">
        <f ca="1">TODAY()</f>
        <v>44377</v>
      </c>
      <c r="G59" s="233"/>
    </row>
    <row r="60" spans="2:7" x14ac:dyDescent="0.25">
      <c r="B60" s="255" t="s">
        <v>79</v>
      </c>
      <c r="C60" s="256"/>
      <c r="D60" s="256"/>
      <c r="E60" s="256"/>
      <c r="F60" s="256"/>
      <c r="G60" s="256"/>
    </row>
    <row r="61" spans="2:7" x14ac:dyDescent="0.25">
      <c r="B61" s="232" t="s">
        <v>80</v>
      </c>
      <c r="C61" s="257" t="str">
        <f>IFERROR(VLOOKUP(D58,'DATOS REGISTRADOS'!B:C,2,FALSE)," ")</f>
        <v>Martin Valentin Lazaro</v>
      </c>
      <c r="D61" s="257"/>
      <c r="E61" s="258"/>
      <c r="F61" s="258"/>
      <c r="G61" s="258"/>
    </row>
    <row r="62" spans="2:7" x14ac:dyDescent="0.25">
      <c r="B62" s="234" t="s">
        <v>81</v>
      </c>
      <c r="C62" s="259" t="str">
        <f>IFERROR(VLOOKUP(D58,'DATOS REGISTRADOS'!B:Q,3,FALSE)," ")</f>
        <v>M.M del llano# 1507 ote. entre julian villareal y heroes del 47</v>
      </c>
      <c r="D62" s="260"/>
      <c r="E62" s="35" t="s">
        <v>82</v>
      </c>
      <c r="F62" s="261">
        <f>IFERROR(VLOOKUP(D58,'DATOS REGISTRADOS'!B:Q,7,FALSE)," ")</f>
        <v>0</v>
      </c>
      <c r="G62" s="261"/>
    </row>
    <row r="63" spans="2:7" x14ac:dyDescent="0.25">
      <c r="B63" s="233"/>
      <c r="C63" s="243" t="str">
        <f>IFERROR(VLOOKUP(D58,'DATOS REGISTRADOS'!B:Q,4,FALSE)," ")</f>
        <v xml:space="preserve"> col.centro, Apodaca</v>
      </c>
      <c r="D63" s="244"/>
      <c r="E63" s="233"/>
      <c r="F63" s="233"/>
      <c r="G63" s="233"/>
    </row>
    <row r="64" spans="2:7" x14ac:dyDescent="0.25">
      <c r="B64" s="233"/>
      <c r="C64" s="243"/>
      <c r="D64" s="244"/>
      <c r="E64" s="233">
        <f>IFERROR(VLOOKUP(D58,'DATOS REGISTRADOS'!B:Q,16,FALSE)," ")</f>
        <v>32</v>
      </c>
      <c r="F64" s="233">
        <f>IFERROR(VLOOKUP(E64,'DATOS REGISTRADOS'!B:Q,16,FALSE)," ")</f>
        <v>23</v>
      </c>
      <c r="G64" s="233">
        <f>IFERROR(VLOOKUP(F64,'DATOS REGISTRADOS'!B:Q,16,FALSE)," ")</f>
        <v>11</v>
      </c>
    </row>
    <row r="65" spans="2:7" x14ac:dyDescent="0.25">
      <c r="B65" s="233"/>
      <c r="C65" s="66" t="str">
        <f>IFERROR(VLOOKUP(D58,'DATOS REGISTRADOS'!B:Q,5,FALSE)," ")</f>
        <v>NL</v>
      </c>
      <c r="D65" s="67">
        <f>IFERROR(VLOOKUP(D58,'DATOS REGISTRADOS'!B:Q,6,FALSE)," ")</f>
        <v>64000</v>
      </c>
      <c r="E65" s="233" t="s">
        <v>373</v>
      </c>
      <c r="F65" s="233" t="s">
        <v>374</v>
      </c>
      <c r="G65" s="233" t="s">
        <v>375</v>
      </c>
    </row>
    <row r="66" spans="2:7" x14ac:dyDescent="0.25">
      <c r="B66" s="256" t="s">
        <v>83</v>
      </c>
      <c r="C66" s="262"/>
      <c r="D66" s="262"/>
      <c r="E66" s="256"/>
      <c r="F66" s="256"/>
      <c r="G66" s="256"/>
    </row>
    <row r="67" spans="2:7" x14ac:dyDescent="0.25">
      <c r="B67" s="232"/>
      <c r="C67" s="232" t="s">
        <v>86</v>
      </c>
      <c r="D67" s="249"/>
      <c r="E67" s="249"/>
      <c r="F67" s="232" t="s">
        <v>87</v>
      </c>
      <c r="G67" s="232" t="s">
        <v>57</v>
      </c>
    </row>
    <row r="68" spans="2:7" x14ac:dyDescent="0.25">
      <c r="B68" s="225" t="s">
        <v>126</v>
      </c>
      <c r="C68" s="225">
        <v>1</v>
      </c>
      <c r="D68" s="241"/>
      <c r="E68" s="242"/>
      <c r="F68" s="40">
        <f>IFERROR(VLOOKUP(B68,'Productos '!B:G,3,FALSE)," ")</f>
        <v>431.0344827586207</v>
      </c>
      <c r="G68" s="40">
        <f t="shared" ref="G68:G75" si="2">IFERROR((F68*C68)," ")</f>
        <v>431.0344827586207</v>
      </c>
    </row>
    <row r="69" spans="2:7" x14ac:dyDescent="0.25">
      <c r="B69" s="225" t="s">
        <v>323</v>
      </c>
      <c r="C69" s="225">
        <v>4</v>
      </c>
      <c r="D69" s="241"/>
      <c r="E69" s="242"/>
      <c r="F69" s="40">
        <f>IFERROR(VLOOKUP(B69,'Productos '!B:G,3,FALSE)," ")</f>
        <v>301.72413793103448</v>
      </c>
      <c r="G69" s="40">
        <f t="shared" si="2"/>
        <v>1206.8965517241379</v>
      </c>
    </row>
    <row r="70" spans="2:7" x14ac:dyDescent="0.25">
      <c r="B70" s="225" t="s">
        <v>321</v>
      </c>
      <c r="C70" s="225"/>
      <c r="D70" s="241"/>
      <c r="E70" s="242"/>
      <c r="F70" s="40">
        <f>IFERROR(VLOOKUP(B70,'Productos '!B:G,3,FALSE)," ")</f>
        <v>103.44827586206897</v>
      </c>
      <c r="G70" s="40">
        <f t="shared" si="2"/>
        <v>0</v>
      </c>
    </row>
    <row r="71" spans="2:7" x14ac:dyDescent="0.25">
      <c r="B71" s="225"/>
      <c r="C71" s="225"/>
      <c r="D71" s="241"/>
      <c r="E71" s="242"/>
      <c r="F71" s="40" t="str">
        <f>IFERROR(VLOOKUP(B71,'Productos '!B:G,3,FALSE)," ")</f>
        <v xml:space="preserve"> </v>
      </c>
      <c r="G71" s="40" t="str">
        <f t="shared" si="2"/>
        <v xml:space="preserve"> </v>
      </c>
    </row>
    <row r="72" spans="2:7" x14ac:dyDescent="0.25">
      <c r="B72" s="225"/>
      <c r="C72" s="225"/>
      <c r="D72" s="241"/>
      <c r="E72" s="242"/>
      <c r="F72" s="40" t="str">
        <f>IFERROR(VLOOKUP(B72,'Productos '!B:G,3,FALSE)," ")</f>
        <v xml:space="preserve"> </v>
      </c>
      <c r="G72" s="40" t="str">
        <f t="shared" si="2"/>
        <v xml:space="preserve"> </v>
      </c>
    </row>
    <row r="73" spans="2:7" x14ac:dyDescent="0.25">
      <c r="B73" s="225"/>
      <c r="C73" s="225"/>
      <c r="D73" s="241"/>
      <c r="E73" s="242"/>
      <c r="F73" s="40" t="str">
        <f>IFERROR(VLOOKUP(B73,'Productos '!B:G,3,FALSE)," ")</f>
        <v xml:space="preserve"> </v>
      </c>
      <c r="G73" s="40" t="str">
        <f t="shared" si="2"/>
        <v xml:space="preserve"> </v>
      </c>
    </row>
    <row r="74" spans="2:7" x14ac:dyDescent="0.25">
      <c r="B74" s="225"/>
      <c r="C74" s="225"/>
      <c r="D74" s="241" t="str">
        <f>IFERROR(VLOOKUP(B74,'Productos '!B:C,2,FALSE)," ")</f>
        <v xml:space="preserve"> </v>
      </c>
      <c r="E74" s="242"/>
      <c r="F74" s="40" t="str">
        <f>IFERROR(VLOOKUP(B74,'Productos '!B:G,3,FALSE)," ")</f>
        <v xml:space="preserve"> </v>
      </c>
      <c r="G74" s="40" t="str">
        <f t="shared" si="2"/>
        <v xml:space="preserve"> </v>
      </c>
    </row>
    <row r="75" spans="2:7" x14ac:dyDescent="0.25">
      <c r="B75" s="225"/>
      <c r="C75" s="225"/>
      <c r="D75" s="241" t="str">
        <f>IFERROR(VLOOKUP(B75,'Productos '!B:C,2,FALSE)," ")</f>
        <v xml:space="preserve"> </v>
      </c>
      <c r="E75" s="242"/>
      <c r="F75" s="40" t="str">
        <f>IFERROR(VLOOKUP(B75,'Productos '!B:G,3,FALSE)," ")</f>
        <v xml:space="preserve"> </v>
      </c>
      <c r="G75" s="40" t="str">
        <f t="shared" si="2"/>
        <v xml:space="preserve"> </v>
      </c>
    </row>
    <row r="76" spans="2:7" x14ac:dyDescent="0.25">
      <c r="B76" s="233"/>
      <c r="C76" s="224">
        <f>SUM(C68:C75)</f>
        <v>5</v>
      </c>
      <c r="D76" s="253" t="s">
        <v>88</v>
      </c>
      <c r="E76" s="254"/>
      <c r="F76" s="232" t="s">
        <v>89</v>
      </c>
      <c r="G76" s="40">
        <f>SUM(G68:G75)</f>
        <v>1637.9310344827586</v>
      </c>
    </row>
    <row r="77" spans="2:7" x14ac:dyDescent="0.25">
      <c r="B77" s="233"/>
      <c r="C77" s="233"/>
      <c r="D77" s="233"/>
      <c r="E77" s="233"/>
      <c r="F77" s="232" t="s">
        <v>90</v>
      </c>
      <c r="G77" s="40">
        <f>G76*16%</f>
        <v>262.06896551724139</v>
      </c>
    </row>
    <row r="78" spans="2:7" x14ac:dyDescent="0.25">
      <c r="B78" s="232" t="s">
        <v>91</v>
      </c>
      <c r="C78" s="241" t="str">
        <f>IFERROR(VLOOKUP(D58,'DATOS REGISTRADOS'!B:R,17,FALSE)," ")</f>
        <v>Teresa Rivera Cortez</v>
      </c>
      <c r="D78" s="252"/>
      <c r="E78" s="242"/>
      <c r="F78" s="232" t="s">
        <v>57</v>
      </c>
      <c r="G78" s="68">
        <f>SUM(G76:G77)</f>
        <v>1900</v>
      </c>
    </row>
    <row r="79" spans="2:7" x14ac:dyDescent="0.25">
      <c r="B79" s="245" t="s">
        <v>343</v>
      </c>
      <c r="C79" s="245"/>
      <c r="D79" s="245"/>
      <c r="E79" s="245"/>
      <c r="F79" s="245"/>
      <c r="G79" s="245"/>
    </row>
    <row r="82" spans="2:7" x14ac:dyDescent="0.25">
      <c r="B82" s="233"/>
      <c r="C82" s="233"/>
      <c r="D82" s="233"/>
      <c r="E82" s="233"/>
      <c r="F82" s="233"/>
      <c r="G82" s="233"/>
    </row>
    <row r="83" spans="2:7" x14ac:dyDescent="0.25">
      <c r="B83" s="233"/>
      <c r="C83" s="250" t="s">
        <v>22</v>
      </c>
      <c r="D83" s="250"/>
      <c r="E83" s="42"/>
      <c r="F83" s="250"/>
      <c r="G83" s="250"/>
    </row>
    <row r="84" spans="2:7" x14ac:dyDescent="0.25">
      <c r="B84" s="233"/>
      <c r="C84" s="251"/>
      <c r="D84" s="251"/>
      <c r="E84" s="233"/>
      <c r="F84" s="43"/>
      <c r="G84" s="233"/>
    </row>
    <row r="85" spans="2:7" x14ac:dyDescent="0.25">
      <c r="B85" s="233"/>
      <c r="C85" s="27" t="s">
        <v>138</v>
      </c>
      <c r="D85" s="225">
        <v>32</v>
      </c>
      <c r="E85" s="232" t="s">
        <v>125</v>
      </c>
      <c r="F85" s="56">
        <v>73</v>
      </c>
      <c r="G85" s="233"/>
    </row>
    <row r="86" spans="2:7" x14ac:dyDescent="0.25">
      <c r="B86" s="233"/>
      <c r="C86" s="29" t="s">
        <v>91</v>
      </c>
      <c r="D86" s="235">
        <f>IFERROR(VLOOKUP(D85,'DATOS REGISTRADOS'!B:Q,16,FALSE)," ")</f>
        <v>23</v>
      </c>
      <c r="E86" s="30" t="s">
        <v>78</v>
      </c>
      <c r="F86" s="31">
        <f ca="1">TODAY()</f>
        <v>44377</v>
      </c>
      <c r="G86" s="233"/>
    </row>
    <row r="87" spans="2:7" x14ac:dyDescent="0.25">
      <c r="B87" s="255" t="s">
        <v>79</v>
      </c>
      <c r="C87" s="256"/>
      <c r="D87" s="256"/>
      <c r="E87" s="256"/>
      <c r="F87" s="256"/>
      <c r="G87" s="256"/>
    </row>
    <row r="88" spans="2:7" x14ac:dyDescent="0.25">
      <c r="B88" s="232" t="s">
        <v>80</v>
      </c>
      <c r="C88" s="257" t="str">
        <f>IFERROR(VLOOKUP(D85,'DATOS REGISTRADOS'!B:C,2,FALSE)," ")</f>
        <v>Teresa Rivera Cortez</v>
      </c>
      <c r="D88" s="257"/>
      <c r="E88" s="258"/>
      <c r="F88" s="258"/>
      <c r="G88" s="258"/>
    </row>
    <row r="89" spans="2:7" x14ac:dyDescent="0.25">
      <c r="B89" s="234" t="s">
        <v>81</v>
      </c>
      <c r="C89" s="259" t="str">
        <f>IFERROR(VLOOKUP(D85,'DATOS REGISTRADOS'!B:Q,3,FALSE)," ")</f>
        <v>rey Fernando de aragon # 739 entre Cristobal Colon y puerto de palos</v>
      </c>
      <c r="D89" s="260"/>
      <c r="E89" s="35" t="s">
        <v>82</v>
      </c>
      <c r="F89" s="261">
        <f>IFERROR(VLOOKUP(D85,'DATOS REGISTRADOS'!B:Q,7,FALSE)," ")</f>
        <v>8115698175</v>
      </c>
      <c r="G89" s="261"/>
    </row>
    <row r="90" spans="2:7" x14ac:dyDescent="0.25">
      <c r="B90" s="233"/>
      <c r="C90" s="243" t="str">
        <f>IFERROR(VLOOKUP(D85,'DATOS REGISTRADOS'!B:Q,4,FALSE)," ")</f>
        <v>colonia quinto centenario general Escobedo</v>
      </c>
      <c r="D90" s="244"/>
      <c r="E90" s="233"/>
      <c r="F90" s="233"/>
      <c r="G90" s="233"/>
    </row>
    <row r="91" spans="2:7" x14ac:dyDescent="0.25">
      <c r="B91" s="233"/>
      <c r="C91" s="243"/>
      <c r="D91" s="244"/>
      <c r="E91" s="233">
        <f>IFERROR(VLOOKUP(D85,'DATOS REGISTRADOS'!B:Q,16,FALSE)," ")</f>
        <v>23</v>
      </c>
      <c r="F91" s="233">
        <f>IFERROR(VLOOKUP(E91,'DATOS REGISTRADOS'!B:Q,16,FALSE)," ")</f>
        <v>11</v>
      </c>
      <c r="G91" s="233">
        <f>IFERROR(VLOOKUP(F91,'DATOS REGISTRADOS'!B:Q,16,FALSE)," ")</f>
        <v>10</v>
      </c>
    </row>
    <row r="92" spans="2:7" x14ac:dyDescent="0.25">
      <c r="B92" s="233"/>
      <c r="C92" s="66" t="str">
        <f>IFERROR(VLOOKUP(D85,'DATOS REGISTRADOS'!B:Q,5,FALSE)," ")</f>
        <v>Nuevo Leon</v>
      </c>
      <c r="D92" s="67">
        <f>IFERROR(VLOOKUP(D85,'DATOS REGISTRADOS'!B:Q,6,FALSE)," ")</f>
        <v>66072</v>
      </c>
      <c r="E92" s="233" t="s">
        <v>373</v>
      </c>
      <c r="F92" s="233" t="s">
        <v>374</v>
      </c>
      <c r="G92" s="233" t="s">
        <v>375</v>
      </c>
    </row>
    <row r="93" spans="2:7" x14ac:dyDescent="0.25">
      <c r="B93" s="256" t="s">
        <v>83</v>
      </c>
      <c r="C93" s="262"/>
      <c r="D93" s="262"/>
      <c r="E93" s="256"/>
      <c r="F93" s="256"/>
      <c r="G93" s="256"/>
    </row>
    <row r="94" spans="2:7" x14ac:dyDescent="0.25">
      <c r="B94" s="232" t="s">
        <v>84</v>
      </c>
      <c r="C94" s="232" t="s">
        <v>86</v>
      </c>
      <c r="D94" s="249" t="s">
        <v>85</v>
      </c>
      <c r="E94" s="249"/>
      <c r="F94" s="232" t="s">
        <v>87</v>
      </c>
      <c r="G94" s="232" t="s">
        <v>57</v>
      </c>
    </row>
    <row r="95" spans="2:7" x14ac:dyDescent="0.25">
      <c r="B95" s="225" t="s">
        <v>126</v>
      </c>
      <c r="C95" s="225">
        <v>1</v>
      </c>
      <c r="D95" s="241" t="str">
        <f>IFERROR(VLOOKUP(B95,'Productos '!B:C,2,FALSE)," ")</f>
        <v>Recompra 1 Activador Celular</v>
      </c>
      <c r="E95" s="242"/>
      <c r="F95" s="40">
        <f>IFERROR(VLOOKUP(B95,'Productos '!B:G,3,FALSE)," ")</f>
        <v>431.0344827586207</v>
      </c>
      <c r="G95" s="40">
        <f t="shared" ref="G95:G102" si="3">IFERROR((F95*C95)," ")</f>
        <v>431.0344827586207</v>
      </c>
    </row>
    <row r="96" spans="2:7" x14ac:dyDescent="0.25">
      <c r="B96" s="225" t="s">
        <v>323</v>
      </c>
      <c r="C96" s="225">
        <v>4</v>
      </c>
      <c r="D96" s="241" t="str">
        <f>IFERROR(VLOOKUP(B96,'Productos '!B:C,2,FALSE)," ")</f>
        <v>Promoción ActiCell</v>
      </c>
      <c r="E96" s="242"/>
      <c r="F96" s="40">
        <f>IFERROR(VLOOKUP(B96,'Productos '!B:G,3,FALSE)," ")</f>
        <v>301.72413793103448</v>
      </c>
      <c r="G96" s="40">
        <f t="shared" si="3"/>
        <v>1206.8965517241379</v>
      </c>
    </row>
    <row r="97" spans="2:7" x14ac:dyDescent="0.25">
      <c r="B97" s="225" t="s">
        <v>321</v>
      </c>
      <c r="C97" s="225"/>
      <c r="D97" s="241" t="str">
        <f>IFERROR(VLOOKUP(B97,'Productos '!B:C,2,FALSE)," ")</f>
        <v>Envio</v>
      </c>
      <c r="E97" s="242"/>
      <c r="F97" s="40">
        <f>IFERROR(VLOOKUP(B97,'Productos '!B:G,3,FALSE)," ")</f>
        <v>103.44827586206897</v>
      </c>
      <c r="G97" s="40">
        <f t="shared" si="3"/>
        <v>0</v>
      </c>
    </row>
    <row r="98" spans="2:7" x14ac:dyDescent="0.25">
      <c r="B98" s="225"/>
      <c r="C98" s="225"/>
      <c r="D98" s="241" t="str">
        <f>IFERROR(VLOOKUP(B98,'Productos '!B:C,2,FALSE)," ")</f>
        <v xml:space="preserve"> </v>
      </c>
      <c r="E98" s="242"/>
      <c r="F98" s="40" t="str">
        <f>IFERROR(VLOOKUP(B98,'Productos '!B:G,3,FALSE)," ")</f>
        <v xml:space="preserve"> </v>
      </c>
      <c r="G98" s="40" t="str">
        <f t="shared" si="3"/>
        <v xml:space="preserve"> </v>
      </c>
    </row>
    <row r="99" spans="2:7" x14ac:dyDescent="0.25">
      <c r="B99" s="225"/>
      <c r="C99" s="225"/>
      <c r="D99" s="241" t="str">
        <f>IFERROR(VLOOKUP(B99,'Productos '!B:C,2,FALSE)," ")</f>
        <v xml:space="preserve"> </v>
      </c>
      <c r="E99" s="242"/>
      <c r="F99" s="40" t="str">
        <f>IFERROR(VLOOKUP(B99,'Productos '!B:G,3,FALSE)," ")</f>
        <v xml:space="preserve"> </v>
      </c>
      <c r="G99" s="40" t="str">
        <f t="shared" si="3"/>
        <v xml:space="preserve"> </v>
      </c>
    </row>
    <row r="100" spans="2:7" x14ac:dyDescent="0.25">
      <c r="B100" s="225"/>
      <c r="C100" s="225"/>
      <c r="D100" s="241" t="str">
        <f>IFERROR(VLOOKUP(B100,'Productos '!B:C,2,FALSE)," ")</f>
        <v xml:space="preserve"> </v>
      </c>
      <c r="E100" s="242"/>
      <c r="F100" s="40" t="str">
        <f>IFERROR(VLOOKUP(B100,'Productos '!B:G,3,FALSE)," ")</f>
        <v xml:space="preserve"> </v>
      </c>
      <c r="G100" s="40" t="str">
        <f t="shared" si="3"/>
        <v xml:space="preserve"> </v>
      </c>
    </row>
    <row r="101" spans="2:7" x14ac:dyDescent="0.25">
      <c r="B101" s="225"/>
      <c r="C101" s="225"/>
      <c r="D101" s="241" t="str">
        <f>IFERROR(VLOOKUP(B101,'Productos '!B:C,2,FALSE)," ")</f>
        <v xml:space="preserve"> </v>
      </c>
      <c r="E101" s="242"/>
      <c r="F101" s="40" t="str">
        <f>IFERROR(VLOOKUP(B101,'Productos '!B:G,3,FALSE)," ")</f>
        <v xml:space="preserve"> </v>
      </c>
      <c r="G101" s="40" t="str">
        <f t="shared" si="3"/>
        <v xml:space="preserve"> </v>
      </c>
    </row>
    <row r="102" spans="2:7" x14ac:dyDescent="0.25">
      <c r="B102" s="225"/>
      <c r="C102" s="225"/>
      <c r="D102" s="241" t="str">
        <f>IFERROR(VLOOKUP(B102,'Productos '!B:C,2,FALSE)," ")</f>
        <v xml:space="preserve"> </v>
      </c>
      <c r="E102" s="242"/>
      <c r="F102" s="40" t="str">
        <f>IFERROR(VLOOKUP(B102,'Productos '!B:G,3,FALSE)," ")</f>
        <v xml:space="preserve"> </v>
      </c>
      <c r="G102" s="40" t="str">
        <f t="shared" si="3"/>
        <v xml:space="preserve"> </v>
      </c>
    </row>
    <row r="103" spans="2:7" x14ac:dyDescent="0.25">
      <c r="B103" s="233"/>
      <c r="C103" s="224">
        <f>SUM(C95:C102)</f>
        <v>5</v>
      </c>
      <c r="D103" s="253" t="s">
        <v>88</v>
      </c>
      <c r="E103" s="254"/>
      <c r="F103" s="232" t="s">
        <v>89</v>
      </c>
      <c r="G103" s="40">
        <f>SUM(G95:G102)</f>
        <v>1637.9310344827586</v>
      </c>
    </row>
    <row r="104" spans="2:7" x14ac:dyDescent="0.25">
      <c r="B104" s="233"/>
      <c r="C104" s="233"/>
      <c r="D104" s="233"/>
      <c r="E104" s="233"/>
      <c r="F104" s="232" t="s">
        <v>90</v>
      </c>
      <c r="G104" s="40">
        <f>G103*16%</f>
        <v>262.06896551724139</v>
      </c>
    </row>
    <row r="105" spans="2:7" x14ac:dyDescent="0.25">
      <c r="B105" s="232" t="s">
        <v>91</v>
      </c>
      <c r="C105" s="241" t="str">
        <f>IFERROR(VLOOKUP(D85,'DATOS REGISTRADOS'!B:R,17,FALSE)," ")</f>
        <v>Bertha Vázquez</v>
      </c>
      <c r="D105" s="252"/>
      <c r="E105" s="242"/>
      <c r="F105" s="232" t="s">
        <v>57</v>
      </c>
      <c r="G105" s="68">
        <f>SUM(G103:G104)</f>
        <v>1900</v>
      </c>
    </row>
    <row r="106" spans="2:7" x14ac:dyDescent="0.25">
      <c r="B106" s="245" t="s">
        <v>343</v>
      </c>
      <c r="C106" s="245"/>
      <c r="D106" s="245"/>
      <c r="E106" s="245"/>
      <c r="F106" s="245"/>
      <c r="G106" s="245"/>
    </row>
    <row r="109" spans="2:7" x14ac:dyDescent="0.25">
      <c r="B109" s="226"/>
      <c r="C109" s="226"/>
      <c r="D109" s="226"/>
      <c r="E109" s="226"/>
      <c r="F109" s="226"/>
      <c r="G109" s="226"/>
    </row>
    <row r="110" spans="2:7" x14ac:dyDescent="0.25">
      <c r="B110" s="226"/>
      <c r="C110" s="250" t="s">
        <v>22</v>
      </c>
      <c r="D110" s="250"/>
      <c r="E110" s="42"/>
      <c r="F110" s="250"/>
      <c r="G110" s="250"/>
    </row>
    <row r="111" spans="2:7" x14ac:dyDescent="0.25">
      <c r="B111" s="226"/>
      <c r="C111" s="251"/>
      <c r="D111" s="251"/>
      <c r="E111" s="226"/>
      <c r="F111" s="43"/>
      <c r="G111" s="226"/>
    </row>
    <row r="112" spans="2:7" x14ac:dyDescent="0.25">
      <c r="B112" s="226"/>
      <c r="C112" s="27" t="s">
        <v>138</v>
      </c>
      <c r="D112" s="225">
        <v>11</v>
      </c>
      <c r="E112" s="229" t="s">
        <v>125</v>
      </c>
      <c r="F112" s="56">
        <v>73</v>
      </c>
      <c r="G112" s="226"/>
    </row>
    <row r="113" spans="2:7" x14ac:dyDescent="0.25">
      <c r="B113" s="226"/>
      <c r="C113" s="29" t="s">
        <v>91</v>
      </c>
      <c r="D113" s="228">
        <f>IFERROR(VLOOKUP(D112,'DATOS REGISTRADOS'!B:Q,16,FALSE)," ")</f>
        <v>10</v>
      </c>
      <c r="E113" s="30" t="s">
        <v>78</v>
      </c>
      <c r="F113" s="31">
        <f ca="1">TODAY()-1</f>
        <v>44376</v>
      </c>
      <c r="G113" s="226"/>
    </row>
    <row r="114" spans="2:7" x14ac:dyDescent="0.25">
      <c r="B114" s="255" t="s">
        <v>79</v>
      </c>
      <c r="C114" s="256"/>
      <c r="D114" s="256"/>
      <c r="E114" s="256"/>
      <c r="F114" s="256"/>
      <c r="G114" s="256"/>
    </row>
    <row r="115" spans="2:7" x14ac:dyDescent="0.25">
      <c r="B115" s="229" t="s">
        <v>80</v>
      </c>
      <c r="C115" s="257" t="str">
        <f>IFERROR(VLOOKUP(D112,'DATOS REGISTRADOS'!B:C,2,FALSE)," ")</f>
        <v>Silvano Cavazos Salazar</v>
      </c>
      <c r="D115" s="257"/>
      <c r="E115" s="258"/>
      <c r="F115" s="258"/>
      <c r="G115" s="258"/>
    </row>
    <row r="116" spans="2:7" x14ac:dyDescent="0.25">
      <c r="B116" s="227" t="s">
        <v>81</v>
      </c>
      <c r="C116" s="259" t="str">
        <f>IFERROR(VLOOKUP(D112,'DATOS REGISTRADOS'!B:Q,3,FALSE)," ")</f>
        <v>Carolina #436</v>
      </c>
      <c r="D116" s="260"/>
      <c r="E116" s="35" t="s">
        <v>82</v>
      </c>
      <c r="F116" s="261" t="str">
        <f>IFERROR(VLOOKUP(D112,'DATOS REGISTRADOS'!B:Q,7,FALSE)," ")</f>
        <v>wp 81-23-71-31-11</v>
      </c>
      <c r="G116" s="261"/>
    </row>
    <row r="117" spans="2:7" x14ac:dyDescent="0.25">
      <c r="B117" s="226"/>
      <c r="C117" s="243" t="str">
        <f>IFERROR(VLOOKUP(D112,'DATOS REGISTRADOS'!B:Q,4,FALSE)," ")</f>
        <v>Los pinceles, Apocada, NL</v>
      </c>
      <c r="D117" s="244"/>
      <c r="E117" s="226"/>
      <c r="F117" s="226"/>
      <c r="G117" s="226"/>
    </row>
    <row r="118" spans="2:7" x14ac:dyDescent="0.25">
      <c r="B118" s="226"/>
      <c r="C118" s="243"/>
      <c r="D118" s="244"/>
      <c r="E118" s="226">
        <f>IFERROR(VLOOKUP(D112,'DATOS REGISTRADOS'!B:Q,16,FALSE)," ")</f>
        <v>10</v>
      </c>
      <c r="F118" s="226">
        <f>IFERROR(VLOOKUP(E118,'DATOS REGISTRADOS'!B:Q,16,FALSE)," ")</f>
        <v>1</v>
      </c>
      <c r="G118" s="226">
        <f>IFERROR(VLOOKUP(F118,'DATOS REGISTRADOS'!B:Q,16,FALSE)," ")</f>
        <v>1</v>
      </c>
    </row>
    <row r="119" spans="2:7" x14ac:dyDescent="0.25">
      <c r="B119" s="226"/>
      <c r="C119" s="66" t="str">
        <f>IFERROR(VLOOKUP(D112,'DATOS REGISTRADOS'!B:Q,5,FALSE)," ")</f>
        <v>Nuevo León</v>
      </c>
      <c r="D119" s="67">
        <f>IFERROR(VLOOKUP(D112,'DATOS REGISTRADOS'!B:Q,6,FALSE)," ")</f>
        <v>66647</v>
      </c>
      <c r="E119" s="226" t="s">
        <v>373</v>
      </c>
      <c r="F119" s="226" t="s">
        <v>374</v>
      </c>
      <c r="G119" s="226" t="s">
        <v>375</v>
      </c>
    </row>
    <row r="120" spans="2:7" x14ac:dyDescent="0.25">
      <c r="B120" s="256" t="s">
        <v>83</v>
      </c>
      <c r="C120" s="262"/>
      <c r="D120" s="262"/>
      <c r="E120" s="256"/>
      <c r="F120" s="256"/>
      <c r="G120" s="256"/>
    </row>
    <row r="121" spans="2:7" x14ac:dyDescent="0.25">
      <c r="B121" s="229" t="s">
        <v>84</v>
      </c>
      <c r="C121" s="229" t="s">
        <v>86</v>
      </c>
      <c r="D121" s="249" t="s">
        <v>85</v>
      </c>
      <c r="E121" s="249"/>
      <c r="F121" s="229" t="s">
        <v>87</v>
      </c>
      <c r="G121" s="229" t="s">
        <v>57</v>
      </c>
    </row>
    <row r="122" spans="2:7" x14ac:dyDescent="0.25">
      <c r="B122" s="225" t="s">
        <v>126</v>
      </c>
      <c r="C122" s="225">
        <v>1</v>
      </c>
      <c r="D122" s="241" t="str">
        <f>IFERROR(VLOOKUP(B122,'Productos '!B:C,2,FALSE)," ")</f>
        <v>Recompra 1 Activador Celular</v>
      </c>
      <c r="E122" s="242"/>
      <c r="F122" s="40">
        <f>IFERROR(VLOOKUP(B122,'Productos '!B:G,3,FALSE)," ")</f>
        <v>431.0344827586207</v>
      </c>
      <c r="G122" s="40">
        <f t="shared" ref="G122:G129" si="4">IFERROR((F122*C122)," ")</f>
        <v>431.0344827586207</v>
      </c>
    </row>
    <row r="123" spans="2:7" x14ac:dyDescent="0.25">
      <c r="B123" s="225" t="s">
        <v>323</v>
      </c>
      <c r="C123" s="225">
        <v>1</v>
      </c>
      <c r="D123" s="241" t="str">
        <f>IFERROR(VLOOKUP(B123,'Productos '!B:C,2,FALSE)," ")</f>
        <v>Promoción ActiCell</v>
      </c>
      <c r="E123" s="242"/>
      <c r="F123" s="40">
        <f>IFERROR(VLOOKUP(B123,'Productos '!B:G,3,FALSE)," ")</f>
        <v>301.72413793103448</v>
      </c>
      <c r="G123" s="40">
        <f t="shared" si="4"/>
        <v>301.72413793103448</v>
      </c>
    </row>
    <row r="124" spans="2:7" x14ac:dyDescent="0.25">
      <c r="B124" s="225"/>
      <c r="C124" s="225" t="s">
        <v>473</v>
      </c>
      <c r="D124" s="241" t="str">
        <f>IFERROR(VLOOKUP(B124,'Productos '!B:C,2,FALSE)," ")</f>
        <v xml:space="preserve"> </v>
      </c>
      <c r="E124" s="242"/>
      <c r="F124" s="40" t="str">
        <f>IFERROR(VLOOKUP(B124,'Productos '!B:G,3,FALSE)," ")</f>
        <v xml:space="preserve"> </v>
      </c>
      <c r="G124" s="40" t="str">
        <f t="shared" si="4"/>
        <v xml:space="preserve"> </v>
      </c>
    </row>
    <row r="125" spans="2:7" x14ac:dyDescent="0.25">
      <c r="B125" s="225"/>
      <c r="C125" s="225"/>
      <c r="D125" s="241" t="str">
        <f>IFERROR(VLOOKUP(B125,'Productos '!B:C,2,FALSE)," ")</f>
        <v xml:space="preserve"> </v>
      </c>
      <c r="E125" s="242"/>
      <c r="F125" s="40" t="str">
        <f>IFERROR(VLOOKUP(B125,'Productos '!B:G,3,FALSE)," ")</f>
        <v xml:space="preserve"> </v>
      </c>
      <c r="G125" s="40" t="str">
        <f t="shared" si="4"/>
        <v xml:space="preserve"> </v>
      </c>
    </row>
    <row r="126" spans="2:7" x14ac:dyDescent="0.25">
      <c r="B126" s="225"/>
      <c r="C126" s="225"/>
      <c r="D126" s="241" t="str">
        <f>IFERROR(VLOOKUP(B126,'Productos '!B:C,2,FALSE)," ")</f>
        <v xml:space="preserve"> </v>
      </c>
      <c r="E126" s="242"/>
      <c r="F126" s="40" t="str">
        <f>IFERROR(VLOOKUP(B126,'Productos '!B:G,3,FALSE)," ")</f>
        <v xml:space="preserve"> </v>
      </c>
      <c r="G126" s="40" t="str">
        <f t="shared" si="4"/>
        <v xml:space="preserve"> </v>
      </c>
    </row>
    <row r="127" spans="2:7" x14ac:dyDescent="0.25">
      <c r="B127" s="225"/>
      <c r="C127" s="225"/>
      <c r="D127" s="241" t="str">
        <f>IFERROR(VLOOKUP(B127,'Productos '!B:C,2,FALSE)," ")</f>
        <v xml:space="preserve"> </v>
      </c>
      <c r="E127" s="242"/>
      <c r="F127" s="40" t="str">
        <f>IFERROR(VLOOKUP(B127,'Productos '!B:G,3,FALSE)," ")</f>
        <v xml:space="preserve"> </v>
      </c>
      <c r="G127" s="40" t="str">
        <f t="shared" si="4"/>
        <v xml:space="preserve"> </v>
      </c>
    </row>
    <row r="128" spans="2:7" x14ac:dyDescent="0.25">
      <c r="B128" s="225"/>
      <c r="C128" s="225"/>
      <c r="D128" s="241" t="str">
        <f>IFERROR(VLOOKUP(B128,'Productos '!B:C,2,FALSE)," ")</f>
        <v xml:space="preserve"> </v>
      </c>
      <c r="E128" s="242"/>
      <c r="F128" s="40" t="str">
        <f>IFERROR(VLOOKUP(B128,'Productos '!B:G,3,FALSE)," ")</f>
        <v xml:space="preserve"> </v>
      </c>
      <c r="G128" s="40" t="str">
        <f t="shared" si="4"/>
        <v xml:space="preserve"> </v>
      </c>
    </row>
    <row r="129" spans="2:7" x14ac:dyDescent="0.25">
      <c r="B129" s="225"/>
      <c r="C129" s="225"/>
      <c r="D129" s="241" t="str">
        <f>IFERROR(VLOOKUP(B129,'Productos '!B:C,2,FALSE)," ")</f>
        <v xml:space="preserve"> </v>
      </c>
      <c r="E129" s="242"/>
      <c r="F129" s="40" t="str">
        <f>IFERROR(VLOOKUP(B129,'Productos '!B:G,3,FALSE)," ")</f>
        <v xml:space="preserve"> </v>
      </c>
      <c r="G129" s="40" t="str">
        <f t="shared" si="4"/>
        <v xml:space="preserve"> </v>
      </c>
    </row>
    <row r="130" spans="2:7" x14ac:dyDescent="0.25">
      <c r="B130" s="226"/>
      <c r="C130" s="224">
        <f>SUM(C122:C129)</f>
        <v>2</v>
      </c>
      <c r="D130" s="253" t="s">
        <v>88</v>
      </c>
      <c r="E130" s="254"/>
      <c r="F130" s="229" t="s">
        <v>89</v>
      </c>
      <c r="G130" s="40">
        <f>SUM(G122:G129)</f>
        <v>732.75862068965512</v>
      </c>
    </row>
    <row r="131" spans="2:7" x14ac:dyDescent="0.25">
      <c r="B131" s="226"/>
      <c r="C131" s="226"/>
      <c r="D131" s="226"/>
      <c r="E131" s="226"/>
      <c r="F131" s="229" t="s">
        <v>90</v>
      </c>
      <c r="G131" s="40">
        <f>G130*16%</f>
        <v>117.24137931034483</v>
      </c>
    </row>
    <row r="132" spans="2:7" x14ac:dyDescent="0.25">
      <c r="B132" s="229" t="s">
        <v>91</v>
      </c>
      <c r="C132" s="241" t="str">
        <f>IFERROR(VLOOKUP(D112,'DATOS REGISTRADOS'!B:R,17,FALSE)," ")</f>
        <v>Héctor Salamanca Salamanca</v>
      </c>
      <c r="D132" s="252"/>
      <c r="E132" s="242"/>
      <c r="F132" s="229" t="s">
        <v>57</v>
      </c>
      <c r="G132" s="68">
        <f>SUM(G130:G131)</f>
        <v>850</v>
      </c>
    </row>
    <row r="133" spans="2:7" x14ac:dyDescent="0.25">
      <c r="B133" s="245" t="s">
        <v>343</v>
      </c>
      <c r="C133" s="245"/>
      <c r="D133" s="245"/>
      <c r="E133" s="245"/>
      <c r="F133" s="245"/>
      <c r="G133" s="245"/>
    </row>
    <row r="136" spans="2:7" x14ac:dyDescent="0.25">
      <c r="B136" s="218"/>
      <c r="C136" s="218"/>
      <c r="D136" s="218"/>
      <c r="E136" s="218"/>
      <c r="F136" s="218"/>
      <c r="G136" s="218"/>
    </row>
    <row r="137" spans="2:7" x14ac:dyDescent="0.25">
      <c r="B137" s="218"/>
      <c r="C137" s="250" t="s">
        <v>22</v>
      </c>
      <c r="D137" s="250"/>
      <c r="E137" s="42"/>
      <c r="F137" s="250"/>
      <c r="G137" s="250"/>
    </row>
    <row r="138" spans="2:7" x14ac:dyDescent="0.25">
      <c r="B138" s="218"/>
      <c r="C138" s="251"/>
      <c r="D138" s="251"/>
      <c r="E138" s="218"/>
      <c r="F138" s="43"/>
      <c r="G138" s="218"/>
    </row>
    <row r="139" spans="2:7" x14ac:dyDescent="0.25">
      <c r="B139" s="218"/>
      <c r="C139" s="27" t="s">
        <v>77</v>
      </c>
      <c r="D139" s="120">
        <v>36</v>
      </c>
      <c r="E139" s="217" t="s">
        <v>125</v>
      </c>
      <c r="F139" s="56">
        <v>72</v>
      </c>
      <c r="G139" s="218"/>
    </row>
    <row r="140" spans="2:7" x14ac:dyDescent="0.25">
      <c r="B140" s="218"/>
      <c r="C140" s="29" t="s">
        <v>76</v>
      </c>
      <c r="D140" s="220">
        <f>IFERROR(VLOOKUP(D139,'DATOS REGISTRADOS'!B:Q,16,FALSE)," ")</f>
        <v>30</v>
      </c>
      <c r="E140" s="30" t="s">
        <v>78</v>
      </c>
      <c r="F140" s="31">
        <f ca="1">TODAY()-1</f>
        <v>44376</v>
      </c>
      <c r="G140" s="218"/>
    </row>
    <row r="141" spans="2:7" x14ac:dyDescent="0.25">
      <c r="B141" s="255" t="s">
        <v>79</v>
      </c>
      <c r="C141" s="256"/>
      <c r="D141" s="256"/>
      <c r="E141" s="256"/>
      <c r="F141" s="256"/>
      <c r="G141" s="256"/>
    </row>
    <row r="142" spans="2:7" x14ac:dyDescent="0.25">
      <c r="B142" s="217" t="s">
        <v>80</v>
      </c>
      <c r="C142" s="257" t="str">
        <f>IFERROR(VLOOKUP(D139,'DATOS REGISTRADOS'!B:C,2,FALSE)," ")</f>
        <v>Maria del Carmen Segura Aguilar</v>
      </c>
      <c r="D142" s="257"/>
      <c r="E142" s="258"/>
      <c r="F142" s="258"/>
      <c r="G142" s="258"/>
    </row>
    <row r="143" spans="2:7" x14ac:dyDescent="0.25">
      <c r="B143" s="219" t="s">
        <v>81</v>
      </c>
      <c r="C143" s="259" t="str">
        <f>IFERROR(VLOOKUP(D139,'DATOS REGISTRADOS'!B:Q,3,FALSE)," ")</f>
        <v>Mitla # 8020 col.Lomas Modelo</v>
      </c>
      <c r="D143" s="260"/>
      <c r="E143" s="35" t="s">
        <v>82</v>
      </c>
      <c r="F143" s="261">
        <f>IFERROR(VLOOKUP(D139,'DATOS REGISTRADOS'!B:Q,7,FALSE)," ")</f>
        <v>8115993799</v>
      </c>
      <c r="G143" s="261"/>
    </row>
    <row r="144" spans="2:7" x14ac:dyDescent="0.25">
      <c r="B144" s="218"/>
      <c r="C144" s="243" t="str">
        <f>IFERROR(VLOOKUP(D139,'DATOS REGISTRADOS'!B:Q,4,FALSE)," ")</f>
        <v>entre Tlatelolco y Tlacopan , cruz con Tizoc</v>
      </c>
      <c r="D144" s="244"/>
      <c r="E144" s="218">
        <f>IFERROR(VLOOKUP(D139,'DATOS REGISTRADOS'!B:Q,16,FALSE)," ")</f>
        <v>30</v>
      </c>
      <c r="F144" s="218">
        <f>IFERROR(VLOOKUP(E144,'DATOS REGISTRADOS'!B:Q,16,FALSE)," ")</f>
        <v>15</v>
      </c>
      <c r="G144" s="218">
        <f>IFERROR(VLOOKUP(F144,'DATOS REGISTRADOS'!B:Q,16,FALSE)," ")</f>
        <v>11</v>
      </c>
    </row>
    <row r="145" spans="2:7" x14ac:dyDescent="0.25">
      <c r="B145" s="218"/>
      <c r="C145" s="66" t="str">
        <f>IFERROR(VLOOKUP(D139,'DATOS REGISTRADOS'!B:Q,5,FALSE)," ")</f>
        <v>Monterrey Nuevo Leon</v>
      </c>
      <c r="D145" s="67">
        <f>IFERROR(VLOOKUP(D139,'DATOS REGISTRADOS'!B:Q,6,FALSE)," ")</f>
        <v>64140</v>
      </c>
      <c r="E145" s="218" t="s">
        <v>373</v>
      </c>
      <c r="F145" s="218" t="s">
        <v>374</v>
      </c>
      <c r="G145" s="218" t="s">
        <v>375</v>
      </c>
    </row>
    <row r="146" spans="2:7" x14ac:dyDescent="0.25">
      <c r="B146" s="256" t="s">
        <v>83</v>
      </c>
      <c r="C146" s="262"/>
      <c r="D146" s="262"/>
      <c r="E146" s="256"/>
      <c r="F146" s="256"/>
      <c r="G146" s="256"/>
    </row>
    <row r="147" spans="2:7" x14ac:dyDescent="0.25">
      <c r="B147" s="217" t="s">
        <v>84</v>
      </c>
      <c r="C147" s="249" t="s">
        <v>85</v>
      </c>
      <c r="D147" s="249"/>
      <c r="E147" s="217" t="s">
        <v>86</v>
      </c>
      <c r="F147" s="217" t="s">
        <v>87</v>
      </c>
      <c r="G147" s="217" t="s">
        <v>57</v>
      </c>
    </row>
    <row r="148" spans="2:7" x14ac:dyDescent="0.25">
      <c r="B148" s="120" t="s">
        <v>126</v>
      </c>
      <c r="C148" s="241" t="str">
        <f>IFERROR(VLOOKUP(B148,'Productos '!B:C,2,FALSE)," ")</f>
        <v>Recompra 1 Activador Celular</v>
      </c>
      <c r="D148" s="242"/>
      <c r="E148" s="120">
        <v>1</v>
      </c>
      <c r="F148" s="40">
        <f>IFERROR(VLOOKUP(B148,'Productos '!B:G,3,FALSE)," ")</f>
        <v>431.0344827586207</v>
      </c>
      <c r="G148" s="40">
        <f>IFERROR((F148*E148)," ")</f>
        <v>431.0344827586207</v>
      </c>
    </row>
    <row r="149" spans="2:7" x14ac:dyDescent="0.25">
      <c r="B149" s="120" t="s">
        <v>323</v>
      </c>
      <c r="C149" s="241" t="str">
        <f>IFERROR(VLOOKUP(B149,'Productos '!B:C,2,FALSE)," ")</f>
        <v>Promoción ActiCell</v>
      </c>
      <c r="D149" s="242"/>
      <c r="E149" s="120">
        <v>4</v>
      </c>
      <c r="F149" s="40">
        <f>IFERROR(VLOOKUP(B149,'Productos '!B:G,3,FALSE)," ")</f>
        <v>301.72413793103448</v>
      </c>
      <c r="G149" s="40">
        <f t="shared" ref="G149:G154" si="5">IFERROR((F149*E149)," ")</f>
        <v>1206.8965517241379</v>
      </c>
    </row>
    <row r="150" spans="2:7" x14ac:dyDescent="0.25">
      <c r="B150" s="120" t="s">
        <v>149</v>
      </c>
      <c r="C150" s="241" t="str">
        <f>IFERROR(VLOOKUP(B150,'Productos '!B:C,2,FALSE)," ")</f>
        <v>Crema regenerante</v>
      </c>
      <c r="D150" s="242"/>
      <c r="E150" s="120">
        <v>1</v>
      </c>
      <c r="F150" s="40">
        <f>IFERROR(VLOOKUP(B150,'Productos '!B:G,3,FALSE)," ")</f>
        <v>155.17241379310346</v>
      </c>
      <c r="G150" s="40">
        <f t="shared" si="5"/>
        <v>155.17241379310346</v>
      </c>
    </row>
    <row r="151" spans="2:7" x14ac:dyDescent="0.25">
      <c r="B151" s="120" t="s">
        <v>328</v>
      </c>
      <c r="C151" s="241" t="str">
        <f>IFERROR(VLOOKUP(B151,'Productos '!B:C,2,FALSE)," ")</f>
        <v>Promoción 5cremas</v>
      </c>
      <c r="D151" s="242"/>
      <c r="E151" s="120">
        <v>1</v>
      </c>
      <c r="F151" s="40">
        <f>IFERROR(VLOOKUP(B151,'Productos '!B:G,3,FALSE)," ")</f>
        <v>517.24137931034488</v>
      </c>
      <c r="G151" s="40">
        <f t="shared" si="5"/>
        <v>517.24137931034488</v>
      </c>
    </row>
    <row r="152" spans="2:7" x14ac:dyDescent="0.25">
      <c r="B152" s="120" t="s">
        <v>321</v>
      </c>
      <c r="C152" s="241" t="str">
        <f>IFERROR(VLOOKUP(B152,'Productos '!B:C,2,FALSE)," ")</f>
        <v>Envio</v>
      </c>
      <c r="D152" s="242"/>
      <c r="E152" s="120"/>
      <c r="F152" s="40">
        <f>IFERROR(VLOOKUP(B152,'Productos '!B:G,3,FALSE)," ")</f>
        <v>103.44827586206897</v>
      </c>
      <c r="G152" s="40">
        <f t="shared" si="5"/>
        <v>0</v>
      </c>
    </row>
    <row r="153" spans="2:7" x14ac:dyDescent="0.25">
      <c r="B153" s="120"/>
      <c r="C153" s="241" t="str">
        <f>IFERROR(VLOOKUP(B153,'Productos '!B:C,2,FALSE)," ")</f>
        <v xml:space="preserve"> </v>
      </c>
      <c r="D153" s="242"/>
      <c r="E153" s="120"/>
      <c r="F153" s="40" t="str">
        <f>IFERROR(VLOOKUP(B153,'Productos '!B:G,3,FALSE)," ")</f>
        <v xml:space="preserve"> </v>
      </c>
      <c r="G153" s="40" t="str">
        <f t="shared" si="5"/>
        <v xml:space="preserve"> </v>
      </c>
    </row>
    <row r="154" spans="2:7" x14ac:dyDescent="0.25">
      <c r="B154" s="120"/>
      <c r="C154" s="241" t="str">
        <f>IFERROR(VLOOKUP(B154,'Productos '!B:C,2,FALSE)," ")</f>
        <v xml:space="preserve"> </v>
      </c>
      <c r="D154" s="242"/>
      <c r="E154" s="120"/>
      <c r="F154" s="40" t="str">
        <f>IFERROR(VLOOKUP(B154,'Productos '!B:G,3,FALSE)," ")</f>
        <v xml:space="preserve"> </v>
      </c>
      <c r="G154" s="40" t="str">
        <f t="shared" si="5"/>
        <v xml:space="preserve"> </v>
      </c>
    </row>
    <row r="155" spans="2:7" x14ac:dyDescent="0.25">
      <c r="B155" s="218"/>
      <c r="C155" s="253" t="s">
        <v>88</v>
      </c>
      <c r="D155" s="254"/>
      <c r="E155" s="38">
        <f>SUM(E148:E154)</f>
        <v>7</v>
      </c>
      <c r="F155" s="217" t="s">
        <v>89</v>
      </c>
      <c r="G155" s="40">
        <f>SUM(G148:G154)</f>
        <v>2310.344827586207</v>
      </c>
    </row>
    <row r="156" spans="2:7" x14ac:dyDescent="0.25">
      <c r="B156" s="218"/>
      <c r="C156" s="218"/>
      <c r="D156" s="218"/>
      <c r="E156" s="218"/>
      <c r="F156" s="217" t="s">
        <v>90</v>
      </c>
      <c r="G156" s="40">
        <f>G155*16%</f>
        <v>369.65517241379314</v>
      </c>
    </row>
    <row r="157" spans="2:7" x14ac:dyDescent="0.25">
      <c r="B157" s="217" t="s">
        <v>91</v>
      </c>
      <c r="C157" s="241" t="str">
        <f>IFERROR(VLOOKUP(D139,'DATOS REGISTRADOS'!B:R,17,FALSE)," ")</f>
        <v>Marina Concepcion Salazar Soto</v>
      </c>
      <c r="D157" s="252"/>
      <c r="E157" s="242"/>
      <c r="F157" s="217" t="s">
        <v>57</v>
      </c>
      <c r="G157" s="68">
        <f>SUM(G155:G156)</f>
        <v>2680</v>
      </c>
    </row>
    <row r="158" spans="2:7" x14ac:dyDescent="0.25">
      <c r="B158" s="245" t="s">
        <v>343</v>
      </c>
      <c r="C158" s="245"/>
      <c r="D158" s="245"/>
      <c r="E158" s="245"/>
      <c r="F158" s="245"/>
      <c r="G158" s="245"/>
    </row>
    <row r="159" spans="2:7" x14ac:dyDescent="0.25">
      <c r="B159" s="246" t="s">
        <v>124</v>
      </c>
      <c r="C159" s="247"/>
      <c r="D159" s="247"/>
      <c r="E159" s="247"/>
      <c r="F159" s="247"/>
      <c r="G159" s="248"/>
    </row>
    <row r="160" spans="2:7" x14ac:dyDescent="0.25">
      <c r="B160" s="54" t="s">
        <v>123</v>
      </c>
      <c r="C160" s="216"/>
      <c r="D160" s="245" t="s">
        <v>128</v>
      </c>
      <c r="E160" s="245"/>
      <c r="F160" s="245"/>
      <c r="G160" s="245"/>
    </row>
    <row r="163" spans="2:7" x14ac:dyDescent="0.25">
      <c r="B163" s="218"/>
      <c r="C163" s="218"/>
      <c r="D163" s="218"/>
      <c r="E163" s="218"/>
      <c r="F163" s="218"/>
      <c r="G163" s="218"/>
    </row>
    <row r="164" spans="2:7" x14ac:dyDescent="0.25">
      <c r="B164" s="218"/>
      <c r="C164" s="250" t="s">
        <v>22</v>
      </c>
      <c r="D164" s="250"/>
      <c r="E164" s="42"/>
      <c r="F164" s="250"/>
      <c r="G164" s="250"/>
    </row>
    <row r="165" spans="2:7" x14ac:dyDescent="0.25">
      <c r="B165" s="218"/>
      <c r="C165" s="251"/>
      <c r="D165" s="251"/>
      <c r="E165" s="218"/>
      <c r="F165" s="43"/>
      <c r="G165" s="218"/>
    </row>
    <row r="166" spans="2:7" x14ac:dyDescent="0.25">
      <c r="B166" s="218"/>
      <c r="C166" s="27" t="s">
        <v>77</v>
      </c>
      <c r="D166" s="120">
        <v>25</v>
      </c>
      <c r="E166" s="217" t="s">
        <v>125</v>
      </c>
      <c r="F166" s="56">
        <v>71</v>
      </c>
      <c r="G166" s="218"/>
    </row>
    <row r="167" spans="2:7" x14ac:dyDescent="0.25">
      <c r="B167" s="218"/>
      <c r="C167" s="29" t="s">
        <v>76</v>
      </c>
      <c r="D167" s="220">
        <f>IFERROR(VLOOKUP(D166,'DATOS REGISTRADOS'!B:Q,16,FALSE)," ")</f>
        <v>15</v>
      </c>
      <c r="E167" s="30" t="s">
        <v>78</v>
      </c>
      <c r="F167" s="31">
        <f ca="1">TODAY()-1</f>
        <v>44376</v>
      </c>
      <c r="G167" s="218"/>
    </row>
    <row r="168" spans="2:7" x14ac:dyDescent="0.25">
      <c r="B168" s="255" t="s">
        <v>79</v>
      </c>
      <c r="C168" s="256"/>
      <c r="D168" s="256"/>
      <c r="E168" s="256"/>
      <c r="F168" s="256"/>
      <c r="G168" s="256"/>
    </row>
    <row r="169" spans="2:7" x14ac:dyDescent="0.25">
      <c r="B169" s="217" t="s">
        <v>80</v>
      </c>
      <c r="C169" s="257" t="str">
        <f>IFERROR(VLOOKUP(D166,'DATOS REGISTRADOS'!B:C,2,FALSE)," ")</f>
        <v>María de los angeles Martínez Villareal</v>
      </c>
      <c r="D169" s="257"/>
      <c r="E169" s="258"/>
      <c r="F169" s="258"/>
      <c r="G169" s="258"/>
    </row>
    <row r="170" spans="2:7" x14ac:dyDescent="0.25">
      <c r="B170" s="219" t="s">
        <v>81</v>
      </c>
      <c r="C170" s="259" t="str">
        <f>IFERROR(VLOOKUP(D166,'DATOS REGISTRADOS'!B:Q,3,FALSE)," ")</f>
        <v>Calle Ana Laura #329</v>
      </c>
      <c r="D170" s="260"/>
      <c r="E170" s="35" t="s">
        <v>82</v>
      </c>
      <c r="F170" s="261">
        <f>IFERROR(VLOOKUP(D166,'DATOS REGISTRADOS'!B:Q,7,FALSE)," ")</f>
        <v>8126877192</v>
      </c>
      <c r="G170" s="261"/>
    </row>
    <row r="171" spans="2:7" x14ac:dyDescent="0.25">
      <c r="B171" s="218"/>
      <c r="C171" s="243" t="str">
        <f>IFERROR(VLOOKUP(D166,'DATOS REGISTRADOS'!B:Q,4,FALSE)," ")</f>
        <v>Entre Idalia e Ignacio Villareal fraccionamiento los candiles</v>
      </c>
      <c r="D171" s="244"/>
      <c r="E171" s="218">
        <f>IFERROR(VLOOKUP(D166,'DATOS REGISTRADOS'!B:Q,16,FALSE)," ")</f>
        <v>15</v>
      </c>
      <c r="F171" s="218">
        <f>IFERROR(VLOOKUP(E171,'DATOS REGISTRADOS'!B:Q,16,FALSE)," ")</f>
        <v>11</v>
      </c>
      <c r="G171" s="218">
        <f>IFERROR(VLOOKUP(F171,'DATOS REGISTRADOS'!B:Q,16,FALSE)," ")</f>
        <v>10</v>
      </c>
    </row>
    <row r="172" spans="2:7" x14ac:dyDescent="0.25">
      <c r="B172" s="218"/>
      <c r="C172" s="66" t="str">
        <f>IFERROR(VLOOKUP(D166,'DATOS REGISTRADOS'!B:Q,5,FALSE)," ")</f>
        <v>Nuevo León</v>
      </c>
      <c r="D172" s="67">
        <f>IFERROR(VLOOKUP(D166,'DATOS REGISTRADOS'!B:Q,6,FALSE)," ")</f>
        <v>66647</v>
      </c>
      <c r="E172" s="218" t="s">
        <v>373</v>
      </c>
      <c r="F172" s="218" t="s">
        <v>374</v>
      </c>
      <c r="G172" s="218" t="s">
        <v>375</v>
      </c>
    </row>
    <row r="173" spans="2:7" x14ac:dyDescent="0.25">
      <c r="B173" s="256" t="s">
        <v>83</v>
      </c>
      <c r="C173" s="262"/>
      <c r="D173" s="262"/>
      <c r="E173" s="256"/>
      <c r="F173" s="256"/>
      <c r="G173" s="256"/>
    </row>
    <row r="174" spans="2:7" x14ac:dyDescent="0.25">
      <c r="B174" s="217" t="s">
        <v>84</v>
      </c>
      <c r="C174" s="249" t="s">
        <v>85</v>
      </c>
      <c r="D174" s="249"/>
      <c r="E174" s="217" t="s">
        <v>86</v>
      </c>
      <c r="F174" s="217" t="s">
        <v>87</v>
      </c>
      <c r="G174" s="217" t="s">
        <v>57</v>
      </c>
    </row>
    <row r="175" spans="2:7" x14ac:dyDescent="0.25">
      <c r="B175" s="120" t="s">
        <v>126</v>
      </c>
      <c r="C175" s="241" t="str">
        <f>IFERROR(VLOOKUP(B175,'Productos '!B:C,2,FALSE)," ")</f>
        <v>Recompra 1 Activador Celular</v>
      </c>
      <c r="D175" s="242"/>
      <c r="E175" s="120">
        <v>1</v>
      </c>
      <c r="F175" s="40">
        <f>IFERROR(VLOOKUP(B175,'Productos '!B:G,3,FALSE)," ")</f>
        <v>431.0344827586207</v>
      </c>
      <c r="G175" s="40">
        <f>IFERROR((F175*E175)," ")</f>
        <v>431.0344827586207</v>
      </c>
    </row>
    <row r="176" spans="2:7" x14ac:dyDescent="0.25">
      <c r="B176" s="120" t="s">
        <v>323</v>
      </c>
      <c r="C176" s="241" t="str">
        <f>IFERROR(VLOOKUP(B176,'Productos '!B:C,2,FALSE)," ")</f>
        <v>Promoción ActiCell</v>
      </c>
      <c r="D176" s="242"/>
      <c r="E176" s="120">
        <v>4</v>
      </c>
      <c r="F176" s="40">
        <f>IFERROR(VLOOKUP(B176,'Productos '!B:G,3,FALSE)," ")</f>
        <v>301.72413793103448</v>
      </c>
      <c r="G176" s="40">
        <f t="shared" ref="G176:G181" si="6">IFERROR((F176*E176)," ")</f>
        <v>1206.8965517241379</v>
      </c>
    </row>
    <row r="177" spans="2:7" x14ac:dyDescent="0.25">
      <c r="B177" s="120" t="s">
        <v>321</v>
      </c>
      <c r="C177" s="241" t="str">
        <f>IFERROR(VLOOKUP(B177,'Productos '!B:C,2,FALSE)," ")</f>
        <v>Envio</v>
      </c>
      <c r="D177" s="242"/>
      <c r="E177" s="120"/>
      <c r="F177" s="40">
        <f>IFERROR(VLOOKUP(B177,'Productos '!B:G,3,FALSE)," ")</f>
        <v>103.44827586206897</v>
      </c>
      <c r="G177" s="40">
        <f t="shared" si="6"/>
        <v>0</v>
      </c>
    </row>
    <row r="178" spans="2:7" x14ac:dyDescent="0.25">
      <c r="B178" s="120"/>
      <c r="C178" s="241" t="str">
        <f>IFERROR(VLOOKUP(B178,'Productos '!B:C,2,FALSE)," ")</f>
        <v xml:space="preserve"> </v>
      </c>
      <c r="D178" s="242"/>
      <c r="E178" s="120"/>
      <c r="F178" s="40" t="str">
        <f>IFERROR(VLOOKUP(B178,'Productos '!B:G,3,FALSE)," ")</f>
        <v xml:space="preserve"> </v>
      </c>
      <c r="G178" s="40" t="str">
        <f t="shared" si="6"/>
        <v xml:space="preserve"> </v>
      </c>
    </row>
    <row r="179" spans="2:7" x14ac:dyDescent="0.25">
      <c r="B179" s="120"/>
      <c r="C179" s="241" t="str">
        <f>IFERROR(VLOOKUP(B179,'Productos '!B:C,2,FALSE)," ")</f>
        <v xml:space="preserve"> </v>
      </c>
      <c r="D179" s="242"/>
      <c r="E179" s="120"/>
      <c r="F179" s="40" t="str">
        <f>IFERROR(VLOOKUP(B179,'Productos '!B:G,3,FALSE)," ")</f>
        <v xml:space="preserve"> </v>
      </c>
      <c r="G179" s="40" t="str">
        <f t="shared" si="6"/>
        <v xml:space="preserve"> </v>
      </c>
    </row>
    <row r="180" spans="2:7" x14ac:dyDescent="0.25">
      <c r="B180" s="120"/>
      <c r="C180" s="241" t="str">
        <f>IFERROR(VLOOKUP(B180,'Productos '!B:C,2,FALSE)," ")</f>
        <v xml:space="preserve"> </v>
      </c>
      <c r="D180" s="242"/>
      <c r="E180" s="120"/>
      <c r="F180" s="40" t="str">
        <f>IFERROR(VLOOKUP(B180,'Productos '!B:G,3,FALSE)," ")</f>
        <v xml:space="preserve"> </v>
      </c>
      <c r="G180" s="40" t="str">
        <f t="shared" si="6"/>
        <v xml:space="preserve"> </v>
      </c>
    </row>
    <row r="181" spans="2:7" x14ac:dyDescent="0.25">
      <c r="B181" s="120"/>
      <c r="C181" s="241" t="str">
        <f>IFERROR(VLOOKUP(B181,'Productos '!B:C,2,FALSE)," ")</f>
        <v xml:space="preserve"> </v>
      </c>
      <c r="D181" s="242"/>
      <c r="E181" s="120"/>
      <c r="F181" s="40" t="str">
        <f>IFERROR(VLOOKUP(B181,'Productos '!B:G,3,FALSE)," ")</f>
        <v xml:space="preserve"> </v>
      </c>
      <c r="G181" s="40" t="str">
        <f t="shared" si="6"/>
        <v xml:space="preserve"> </v>
      </c>
    </row>
    <row r="182" spans="2:7" x14ac:dyDescent="0.25">
      <c r="B182" s="218"/>
      <c r="C182" s="253" t="s">
        <v>88</v>
      </c>
      <c r="D182" s="254"/>
      <c r="E182" s="38">
        <f>SUM(E175:E181)</f>
        <v>5</v>
      </c>
      <c r="F182" s="217" t="s">
        <v>89</v>
      </c>
      <c r="G182" s="40">
        <f>SUM(G175:G181)</f>
        <v>1637.9310344827586</v>
      </c>
    </row>
    <row r="183" spans="2:7" x14ac:dyDescent="0.25">
      <c r="B183" s="218"/>
      <c r="C183" s="218"/>
      <c r="D183" s="218"/>
      <c r="E183" s="218"/>
      <c r="F183" s="217" t="s">
        <v>90</v>
      </c>
      <c r="G183" s="40">
        <f>G182*16%</f>
        <v>262.06896551724139</v>
      </c>
    </row>
    <row r="184" spans="2:7" x14ac:dyDescent="0.25">
      <c r="B184" s="217" t="s">
        <v>91</v>
      </c>
      <c r="C184" s="241" t="str">
        <f>IFERROR(VLOOKUP(D166,'DATOS REGISTRADOS'!B:R,17,FALSE)," ")</f>
        <v>Celia Salazar Soto</v>
      </c>
      <c r="D184" s="252"/>
      <c r="E184" s="242"/>
      <c r="F184" s="217" t="s">
        <v>57</v>
      </c>
      <c r="G184" s="68">
        <f>SUM(G182:G183)</f>
        <v>1900</v>
      </c>
    </row>
    <row r="185" spans="2:7" x14ac:dyDescent="0.25">
      <c r="B185" s="245" t="s">
        <v>343</v>
      </c>
      <c r="C185" s="245"/>
      <c r="D185" s="245"/>
      <c r="E185" s="245"/>
      <c r="F185" s="245"/>
      <c r="G185" s="245"/>
    </row>
    <row r="186" spans="2:7" x14ac:dyDescent="0.25">
      <c r="B186" s="246" t="s">
        <v>124</v>
      </c>
      <c r="C186" s="247"/>
      <c r="D186" s="247"/>
      <c r="E186" s="247"/>
      <c r="F186" s="247"/>
      <c r="G186" s="248"/>
    </row>
    <row r="187" spans="2:7" x14ac:dyDescent="0.25">
      <c r="B187" s="54" t="s">
        <v>123</v>
      </c>
      <c r="C187" s="216"/>
      <c r="D187" s="245" t="s">
        <v>128</v>
      </c>
      <c r="E187" s="245"/>
      <c r="F187" s="245"/>
      <c r="G187" s="245"/>
    </row>
    <row r="190" spans="2:7" x14ac:dyDescent="0.25">
      <c r="B190" s="218"/>
      <c r="C190" s="218"/>
      <c r="D190" s="218"/>
      <c r="E190" s="218"/>
      <c r="F190" s="218"/>
      <c r="G190" s="218"/>
    </row>
    <row r="191" spans="2:7" x14ac:dyDescent="0.25">
      <c r="B191" s="218"/>
      <c r="C191" s="250" t="s">
        <v>22</v>
      </c>
      <c r="D191" s="250"/>
      <c r="E191" s="42"/>
      <c r="F191" s="250"/>
      <c r="G191" s="250"/>
    </row>
    <row r="192" spans="2:7" x14ac:dyDescent="0.25">
      <c r="B192" s="218"/>
      <c r="C192" s="251"/>
      <c r="D192" s="251"/>
      <c r="E192" s="218"/>
      <c r="F192" s="43"/>
      <c r="G192" s="218"/>
    </row>
    <row r="193" spans="2:7" x14ac:dyDescent="0.25">
      <c r="B193" s="218"/>
      <c r="C193" s="27" t="s">
        <v>77</v>
      </c>
      <c r="D193" s="120">
        <v>68</v>
      </c>
      <c r="E193" s="217" t="s">
        <v>125</v>
      </c>
      <c r="F193" s="56">
        <v>70</v>
      </c>
      <c r="G193" s="218"/>
    </row>
    <row r="194" spans="2:7" x14ac:dyDescent="0.25">
      <c r="B194" s="218"/>
      <c r="C194" s="29" t="s">
        <v>76</v>
      </c>
      <c r="D194" s="220">
        <f>IFERROR(VLOOKUP(D193,'DATOS REGISTRADOS'!B:Q,16,FALSE)," ")</f>
        <v>45</v>
      </c>
      <c r="E194" s="30" t="s">
        <v>78</v>
      </c>
      <c r="F194" s="31">
        <f ca="1">TODAY()-3</f>
        <v>44374</v>
      </c>
      <c r="G194" s="218"/>
    </row>
    <row r="195" spans="2:7" x14ac:dyDescent="0.25">
      <c r="B195" s="255" t="s">
        <v>79</v>
      </c>
      <c r="C195" s="256"/>
      <c r="D195" s="256"/>
      <c r="E195" s="256"/>
      <c r="F195" s="256"/>
      <c r="G195" s="256"/>
    </row>
    <row r="196" spans="2:7" x14ac:dyDescent="0.25">
      <c r="B196" s="217" t="s">
        <v>80</v>
      </c>
      <c r="C196" s="257" t="str">
        <f>IFERROR(VLOOKUP(D193,'DATOS REGISTRADOS'!B:C,2,FALSE)," ")</f>
        <v>Juana Margarita Solis Carreon</v>
      </c>
      <c r="D196" s="257"/>
      <c r="E196" s="258"/>
      <c r="F196" s="258"/>
      <c r="G196" s="258"/>
    </row>
    <row r="197" spans="2:7" x14ac:dyDescent="0.25">
      <c r="B197" s="219" t="s">
        <v>81</v>
      </c>
      <c r="C197" s="259" t="str">
        <f>IFERROR(VLOOKUP(D193,'DATOS REGISTRADOS'!B:Q,3,FALSE)," ")</f>
        <v>Calle Mar Rojo # 406 Entre calle Daniel H Madero y Lindero Oriente</v>
      </c>
      <c r="D197" s="260"/>
      <c r="E197" s="35" t="s">
        <v>82</v>
      </c>
      <c r="F197" s="261">
        <f>IFERROR(VLOOKUP(D193,'DATOS REGISTRADOS'!B:Q,7,FALSE)," ")</f>
        <v>8421014216</v>
      </c>
      <c r="G197" s="261"/>
    </row>
    <row r="198" spans="2:7" x14ac:dyDescent="0.25">
      <c r="B198" s="218"/>
      <c r="C198" s="243" t="str">
        <f>IFERROR(VLOOKUP(D193,'DATOS REGISTRADOS'!B:Q,4,FALSE)," ")</f>
        <v>Col Miramar, Parras de la Fuente</v>
      </c>
      <c r="D198" s="244"/>
      <c r="E198" s="218">
        <f>IFERROR(VLOOKUP(D193,'DATOS REGISTRADOS'!B:Q,16,FALSE)," ")</f>
        <v>45</v>
      </c>
      <c r="F198" s="218">
        <f>IFERROR(VLOOKUP(E198,'DATOS REGISTRADOS'!B:Q,16,FALSE)," ")</f>
        <v>35</v>
      </c>
      <c r="G198" s="218">
        <f>IFERROR(VLOOKUP(F198,'DATOS REGISTRADOS'!B:Q,16,FALSE)," ")</f>
        <v>30</v>
      </c>
    </row>
    <row r="199" spans="2:7" x14ac:dyDescent="0.25">
      <c r="B199" s="218"/>
      <c r="C199" s="66" t="str">
        <f>IFERROR(VLOOKUP(D193,'DATOS REGISTRADOS'!B:Q,5,FALSE)," ")</f>
        <v>Coahuila</v>
      </c>
      <c r="D199" s="67">
        <f>IFERROR(VLOOKUP(D193,'DATOS REGISTRADOS'!B:Q,6,FALSE)," ")</f>
        <v>27985</v>
      </c>
      <c r="E199" s="218" t="s">
        <v>373</v>
      </c>
      <c r="F199" s="218" t="s">
        <v>374</v>
      </c>
      <c r="G199" s="218" t="s">
        <v>375</v>
      </c>
    </row>
    <row r="200" spans="2:7" x14ac:dyDescent="0.25">
      <c r="B200" s="256" t="s">
        <v>83</v>
      </c>
      <c r="C200" s="262"/>
      <c r="D200" s="262"/>
      <c r="E200" s="256"/>
      <c r="F200" s="256"/>
      <c r="G200" s="256"/>
    </row>
    <row r="201" spans="2:7" x14ac:dyDescent="0.25">
      <c r="B201" s="217" t="s">
        <v>84</v>
      </c>
      <c r="C201" s="249" t="s">
        <v>85</v>
      </c>
      <c r="D201" s="249"/>
      <c r="E201" s="217" t="s">
        <v>86</v>
      </c>
      <c r="F201" s="217" t="s">
        <v>87</v>
      </c>
      <c r="G201" s="217" t="s">
        <v>57</v>
      </c>
    </row>
    <row r="202" spans="2:7" x14ac:dyDescent="0.25">
      <c r="B202" s="120" t="s">
        <v>118</v>
      </c>
      <c r="C202" s="241" t="str">
        <f>IFERROR(VLOOKUP(B202,'Productos '!B:C,2,FALSE)," ")</f>
        <v>Recompra 1 Activador Celular</v>
      </c>
      <c r="D202" s="242"/>
      <c r="E202" s="120">
        <v>1</v>
      </c>
      <c r="F202" s="40">
        <f>IFERROR(VLOOKUP(B202,'Productos '!B:G,3,FALSE)," ")</f>
        <v>431.0344827586207</v>
      </c>
      <c r="G202" s="40">
        <f>IFERROR((F202*E202)," ")</f>
        <v>431.0344827586207</v>
      </c>
    </row>
    <row r="203" spans="2:7" x14ac:dyDescent="0.25">
      <c r="B203" s="120" t="s">
        <v>323</v>
      </c>
      <c r="C203" s="241" t="str">
        <f>IFERROR(VLOOKUP(B203,'Productos '!B:C,2,FALSE)," ")</f>
        <v>Promoción ActiCell</v>
      </c>
      <c r="D203" s="242"/>
      <c r="E203" s="120">
        <v>2</v>
      </c>
      <c r="F203" s="40">
        <f>IFERROR(VLOOKUP(B203,'Productos '!B:G,3,FALSE)," ")</f>
        <v>301.72413793103448</v>
      </c>
      <c r="G203" s="40">
        <f t="shared" ref="G203:G208" si="7">IFERROR((F203*E203)," ")</f>
        <v>603.44827586206895</v>
      </c>
    </row>
    <row r="204" spans="2:7" x14ac:dyDescent="0.25">
      <c r="B204" s="120" t="s">
        <v>149</v>
      </c>
      <c r="C204" s="241" t="str">
        <f>IFERROR(VLOOKUP(B204,'Productos '!B:C,2,FALSE)," ")</f>
        <v>Crema regenerante</v>
      </c>
      <c r="D204" s="242"/>
      <c r="E204" s="120">
        <v>2</v>
      </c>
      <c r="F204" s="40">
        <f>IFERROR(VLOOKUP(B204,'Productos '!B:G,3,FALSE)," ")</f>
        <v>155.17241379310346</v>
      </c>
      <c r="G204" s="40">
        <f t="shared" si="7"/>
        <v>310.34482758620692</v>
      </c>
    </row>
    <row r="205" spans="2:7" x14ac:dyDescent="0.25">
      <c r="B205" s="120" t="s">
        <v>321</v>
      </c>
      <c r="C205" s="241" t="str">
        <f>IFERROR(VLOOKUP(B205,'Productos '!B:C,2,FALSE)," ")</f>
        <v>Envio</v>
      </c>
      <c r="D205" s="242"/>
      <c r="E205" s="120"/>
      <c r="F205" s="40">
        <f>IFERROR(VLOOKUP(B205,'Productos '!B:G,3,FALSE)," ")</f>
        <v>103.44827586206897</v>
      </c>
      <c r="G205" s="40">
        <f t="shared" si="7"/>
        <v>0</v>
      </c>
    </row>
    <row r="206" spans="2:7" x14ac:dyDescent="0.25">
      <c r="B206" s="120"/>
      <c r="C206" s="241" t="str">
        <f>IFERROR(VLOOKUP(B206,'Productos '!B:C,2,FALSE)," ")</f>
        <v xml:space="preserve"> </v>
      </c>
      <c r="D206" s="242"/>
      <c r="E206" s="120"/>
      <c r="F206" s="40" t="str">
        <f>IFERROR(VLOOKUP(B206,'Productos '!B:G,3,FALSE)," ")</f>
        <v xml:space="preserve"> </v>
      </c>
      <c r="G206" s="40" t="str">
        <f t="shared" si="7"/>
        <v xml:space="preserve"> </v>
      </c>
    </row>
    <row r="207" spans="2:7" x14ac:dyDescent="0.25">
      <c r="B207" s="120"/>
      <c r="C207" s="241" t="str">
        <f>IFERROR(VLOOKUP(B207,'Productos '!B:C,2,FALSE)," ")</f>
        <v xml:space="preserve"> </v>
      </c>
      <c r="D207" s="242"/>
      <c r="E207" s="120"/>
      <c r="F207" s="40" t="str">
        <f>IFERROR(VLOOKUP(B207,'Productos '!B:G,3,FALSE)," ")</f>
        <v xml:space="preserve"> </v>
      </c>
      <c r="G207" s="40" t="str">
        <f t="shared" si="7"/>
        <v xml:space="preserve"> </v>
      </c>
    </row>
    <row r="208" spans="2:7" x14ac:dyDescent="0.25">
      <c r="B208" s="120"/>
      <c r="C208" s="241" t="str">
        <f>IFERROR(VLOOKUP(B208,'Productos '!B:C,2,FALSE)," ")</f>
        <v xml:space="preserve"> </v>
      </c>
      <c r="D208" s="242"/>
      <c r="E208" s="120"/>
      <c r="F208" s="40" t="str">
        <f>IFERROR(VLOOKUP(B208,'Productos '!B:G,3,FALSE)," ")</f>
        <v xml:space="preserve"> </v>
      </c>
      <c r="G208" s="40" t="str">
        <f t="shared" si="7"/>
        <v xml:space="preserve"> </v>
      </c>
    </row>
    <row r="209" spans="2:7" x14ac:dyDescent="0.25">
      <c r="B209" s="218"/>
      <c r="C209" s="253" t="s">
        <v>88</v>
      </c>
      <c r="D209" s="254"/>
      <c r="E209" s="38">
        <f>SUM(E202:E208)</f>
        <v>5</v>
      </c>
      <c r="F209" s="217" t="s">
        <v>89</v>
      </c>
      <c r="G209" s="40">
        <f>SUM(G202:G208)</f>
        <v>1344.8275862068967</v>
      </c>
    </row>
    <row r="210" spans="2:7" x14ac:dyDescent="0.25">
      <c r="B210" s="218"/>
      <c r="C210" s="218"/>
      <c r="D210" s="218"/>
      <c r="E210" s="218"/>
      <c r="F210" s="217" t="s">
        <v>90</v>
      </c>
      <c r="G210" s="40">
        <f>G209*16%</f>
        <v>215.17241379310349</v>
      </c>
    </row>
    <row r="211" spans="2:7" x14ac:dyDescent="0.25">
      <c r="B211" s="217" t="s">
        <v>91</v>
      </c>
      <c r="C211" s="241" t="str">
        <f>IFERROR(VLOOKUP(D193,'DATOS REGISTRADOS'!B:R,17,FALSE)," ")</f>
        <v>Maria de la  Luz Solis Sandoval</v>
      </c>
      <c r="D211" s="252"/>
      <c r="E211" s="242"/>
      <c r="F211" s="217" t="s">
        <v>57</v>
      </c>
      <c r="G211" s="68">
        <f>SUM(G209:G210)</f>
        <v>1560.0000000000002</v>
      </c>
    </row>
    <row r="212" spans="2:7" x14ac:dyDescent="0.25">
      <c r="B212" s="245" t="s">
        <v>343</v>
      </c>
      <c r="C212" s="245"/>
      <c r="D212" s="245"/>
      <c r="E212" s="245"/>
      <c r="F212" s="245"/>
      <c r="G212" s="245"/>
    </row>
    <row r="213" spans="2:7" x14ac:dyDescent="0.25">
      <c r="B213" s="246" t="s">
        <v>124</v>
      </c>
      <c r="C213" s="247"/>
      <c r="D213" s="247"/>
      <c r="E213" s="247"/>
      <c r="F213" s="247"/>
      <c r="G213" s="248"/>
    </row>
    <row r="214" spans="2:7" x14ac:dyDescent="0.25">
      <c r="B214" s="54" t="s">
        <v>123</v>
      </c>
      <c r="C214" s="216"/>
      <c r="D214" s="245" t="s">
        <v>128</v>
      </c>
      <c r="E214" s="245"/>
      <c r="F214" s="245"/>
      <c r="G214" s="245"/>
    </row>
    <row r="217" spans="2:7" x14ac:dyDescent="0.25">
      <c r="B217" s="211"/>
      <c r="C217" s="211"/>
      <c r="D217" s="211"/>
      <c r="E217" s="211"/>
      <c r="F217" s="211"/>
      <c r="G217" s="211"/>
    </row>
    <row r="218" spans="2:7" x14ac:dyDescent="0.25">
      <c r="B218" s="211"/>
      <c r="C218" s="250" t="s">
        <v>22</v>
      </c>
      <c r="D218" s="250"/>
      <c r="E218" s="42"/>
      <c r="F218" s="250"/>
      <c r="G218" s="250"/>
    </row>
    <row r="219" spans="2:7" x14ac:dyDescent="0.25">
      <c r="B219" s="211"/>
      <c r="C219" s="251"/>
      <c r="D219" s="251"/>
      <c r="E219" s="211"/>
      <c r="F219" s="43"/>
      <c r="G219" s="211"/>
    </row>
    <row r="220" spans="2:7" x14ac:dyDescent="0.25">
      <c r="B220" s="211"/>
      <c r="C220" s="27" t="s">
        <v>77</v>
      </c>
      <c r="D220" s="120">
        <v>11</v>
      </c>
      <c r="E220" s="210" t="s">
        <v>125</v>
      </c>
      <c r="F220" s="56">
        <v>69</v>
      </c>
      <c r="G220" s="211"/>
    </row>
    <row r="221" spans="2:7" x14ac:dyDescent="0.25">
      <c r="B221" s="211"/>
      <c r="C221" s="29" t="s">
        <v>76</v>
      </c>
      <c r="D221" s="213">
        <f>IFERROR(VLOOKUP(D220,'DATOS REGISTRADOS'!B:Q,16,FALSE)," ")</f>
        <v>10</v>
      </c>
      <c r="E221" s="30" t="s">
        <v>78</v>
      </c>
      <c r="F221" s="31">
        <v>43619</v>
      </c>
      <c r="G221" s="211"/>
    </row>
    <row r="222" spans="2:7" x14ac:dyDescent="0.25">
      <c r="B222" s="255" t="s">
        <v>79</v>
      </c>
      <c r="C222" s="256"/>
      <c r="D222" s="256"/>
      <c r="E222" s="256"/>
      <c r="F222" s="256"/>
      <c r="G222" s="256"/>
    </row>
    <row r="223" spans="2:7" x14ac:dyDescent="0.25">
      <c r="B223" s="210" t="s">
        <v>80</v>
      </c>
      <c r="C223" s="257" t="str">
        <f>IFERROR(VLOOKUP(D220,'DATOS REGISTRADOS'!B:C,2,FALSE)," ")</f>
        <v>Silvano Cavazos Salazar</v>
      </c>
      <c r="D223" s="257"/>
      <c r="E223" s="258"/>
      <c r="F223" s="258"/>
      <c r="G223" s="258"/>
    </row>
    <row r="224" spans="2:7" x14ac:dyDescent="0.25">
      <c r="B224" s="212" t="s">
        <v>81</v>
      </c>
      <c r="C224" s="259" t="str">
        <f>IFERROR(VLOOKUP(D220,'DATOS REGISTRADOS'!B:Q,3,FALSE)," ")</f>
        <v>Carolina #436</v>
      </c>
      <c r="D224" s="260"/>
      <c r="E224" s="35" t="s">
        <v>82</v>
      </c>
      <c r="F224" s="261" t="str">
        <f>IFERROR(VLOOKUP(D220,'DATOS REGISTRADOS'!B:Q,7,FALSE)," ")</f>
        <v>wp 81-23-71-31-11</v>
      </c>
      <c r="G224" s="261"/>
    </row>
    <row r="225" spans="2:7" x14ac:dyDescent="0.25">
      <c r="B225" s="211"/>
      <c r="C225" s="243" t="str">
        <f>IFERROR(VLOOKUP(D220,'DATOS REGISTRADOS'!B:Q,4,FALSE)," ")</f>
        <v>Los pinceles, Apocada, NL</v>
      </c>
      <c r="D225" s="244"/>
      <c r="E225" s="211">
        <f>IFERROR(VLOOKUP(D220,'DATOS REGISTRADOS'!B:Q,16,FALSE)," ")</f>
        <v>10</v>
      </c>
      <c r="F225" s="211">
        <f>IFERROR(VLOOKUP(E225,'DATOS REGISTRADOS'!B:Q,16,FALSE)," ")</f>
        <v>1</v>
      </c>
      <c r="G225" s="211">
        <f>IFERROR(VLOOKUP(F225,'DATOS REGISTRADOS'!B:Q,16,FALSE)," ")</f>
        <v>1</v>
      </c>
    </row>
    <row r="226" spans="2:7" x14ac:dyDescent="0.25">
      <c r="B226" s="211"/>
      <c r="C226" s="66" t="str">
        <f>IFERROR(VLOOKUP(D220,'DATOS REGISTRADOS'!B:Q,5,FALSE)," ")</f>
        <v>Nuevo León</v>
      </c>
      <c r="D226" s="67">
        <f>IFERROR(VLOOKUP(D220,'DATOS REGISTRADOS'!B:Q,6,FALSE)," ")</f>
        <v>66647</v>
      </c>
      <c r="E226" s="211" t="s">
        <v>373</v>
      </c>
      <c r="F226" s="211" t="s">
        <v>374</v>
      </c>
      <c r="G226" s="211" t="s">
        <v>375</v>
      </c>
    </row>
    <row r="227" spans="2:7" x14ac:dyDescent="0.25">
      <c r="B227" s="256" t="s">
        <v>83</v>
      </c>
      <c r="C227" s="262"/>
      <c r="D227" s="262"/>
      <c r="E227" s="256"/>
      <c r="F227" s="256"/>
      <c r="G227" s="256"/>
    </row>
    <row r="228" spans="2:7" x14ac:dyDescent="0.25">
      <c r="B228" s="210" t="s">
        <v>84</v>
      </c>
      <c r="C228" s="249" t="s">
        <v>85</v>
      </c>
      <c r="D228" s="249"/>
      <c r="E228" s="210" t="s">
        <v>86</v>
      </c>
      <c r="F228" s="210" t="s">
        <v>87</v>
      </c>
      <c r="G228" s="210" t="s">
        <v>57</v>
      </c>
    </row>
    <row r="229" spans="2:7" x14ac:dyDescent="0.25">
      <c r="B229" s="120"/>
      <c r="C229" s="241" t="str">
        <f>IFERROR(VLOOKUP(B229,'Productos '!B:C,2,FALSE)," ")</f>
        <v xml:space="preserve"> </v>
      </c>
      <c r="D229" s="242"/>
      <c r="E229" s="120"/>
      <c r="F229" s="40" t="str">
        <f>IFERROR(VLOOKUP(B229,'Productos '!B:G,3,FALSE)," ")</f>
        <v xml:space="preserve"> </v>
      </c>
      <c r="G229" s="40" t="str">
        <f>IFERROR((F229*E229)," ")</f>
        <v xml:space="preserve"> </v>
      </c>
    </row>
    <row r="230" spans="2:7" x14ac:dyDescent="0.25">
      <c r="B230" s="120" t="s">
        <v>126</v>
      </c>
      <c r="C230" s="241" t="str">
        <f>IFERROR(VLOOKUP(B230,'Productos '!B:C,2,FALSE)," ")</f>
        <v>Recompra 1 Activador Celular</v>
      </c>
      <c r="D230" s="242"/>
      <c r="E230" s="120">
        <v>1</v>
      </c>
      <c r="F230" s="40">
        <f>IFERROR(VLOOKUP(B230,'Productos '!B:G,3,FALSE)," ")</f>
        <v>431.0344827586207</v>
      </c>
      <c r="G230" s="40">
        <f t="shared" ref="G230:G235" si="8">IFERROR((F230*E230)," ")</f>
        <v>431.0344827586207</v>
      </c>
    </row>
    <row r="231" spans="2:7" x14ac:dyDescent="0.25">
      <c r="B231" s="120" t="s">
        <v>323</v>
      </c>
      <c r="C231" s="241" t="str">
        <f>IFERROR(VLOOKUP(B231,'Productos '!B:C,2,FALSE)," ")</f>
        <v>Promoción ActiCell</v>
      </c>
      <c r="D231" s="242"/>
      <c r="E231" s="120">
        <v>1</v>
      </c>
      <c r="F231" s="40">
        <f>IFERROR(VLOOKUP(B231,'Productos '!B:G,3,FALSE)," ")</f>
        <v>301.72413793103448</v>
      </c>
      <c r="G231" s="40">
        <f t="shared" si="8"/>
        <v>301.72413793103448</v>
      </c>
    </row>
    <row r="232" spans="2:7" x14ac:dyDescent="0.25">
      <c r="B232" s="120"/>
      <c r="C232" s="241" t="str">
        <f>IFERROR(VLOOKUP(B232,'Productos '!B:C,2,FALSE)," ")</f>
        <v xml:space="preserve"> </v>
      </c>
      <c r="D232" s="242"/>
      <c r="E232" s="120"/>
      <c r="F232" s="40" t="str">
        <f>IFERROR(VLOOKUP(B232,'Productos '!B:G,3,FALSE)," ")</f>
        <v xml:space="preserve"> </v>
      </c>
      <c r="G232" s="40" t="str">
        <f t="shared" si="8"/>
        <v xml:space="preserve"> </v>
      </c>
    </row>
    <row r="233" spans="2:7" x14ac:dyDescent="0.25">
      <c r="B233" s="120" t="s">
        <v>321</v>
      </c>
      <c r="C233" s="241" t="str">
        <f>IFERROR(VLOOKUP(B233,'Productos '!B:C,2,FALSE)," ")</f>
        <v>Envio</v>
      </c>
      <c r="D233" s="242"/>
      <c r="E233" s="120">
        <v>1</v>
      </c>
      <c r="F233" s="40">
        <f>IFERROR(VLOOKUP(B233,'Productos '!B:G,3,FALSE)," ")</f>
        <v>103.44827586206897</v>
      </c>
      <c r="G233" s="40">
        <f t="shared" si="8"/>
        <v>103.44827586206897</v>
      </c>
    </row>
    <row r="234" spans="2:7" x14ac:dyDescent="0.25">
      <c r="B234" s="120"/>
      <c r="C234" s="241" t="str">
        <f>IFERROR(VLOOKUP(B234,'Productos '!B:C,2,FALSE)," ")</f>
        <v xml:space="preserve"> </v>
      </c>
      <c r="D234" s="242"/>
      <c r="E234" s="120"/>
      <c r="F234" s="40" t="str">
        <f>IFERROR(VLOOKUP(B234,'Productos '!B:G,3,FALSE)," ")</f>
        <v xml:space="preserve"> </v>
      </c>
      <c r="G234" s="40" t="str">
        <f t="shared" si="8"/>
        <v xml:space="preserve"> </v>
      </c>
    </row>
    <row r="235" spans="2:7" x14ac:dyDescent="0.25">
      <c r="B235" s="120"/>
      <c r="C235" s="241" t="str">
        <f>IFERROR(VLOOKUP(B235,'Productos '!B:C,2,FALSE)," ")</f>
        <v xml:space="preserve"> </v>
      </c>
      <c r="D235" s="242"/>
      <c r="E235" s="120"/>
      <c r="F235" s="40" t="str">
        <f>IFERROR(VLOOKUP(B235,'Productos '!B:G,3,FALSE)," ")</f>
        <v xml:space="preserve"> </v>
      </c>
      <c r="G235" s="40" t="str">
        <f t="shared" si="8"/>
        <v xml:space="preserve"> </v>
      </c>
    </row>
    <row r="236" spans="2:7" x14ac:dyDescent="0.25">
      <c r="B236" s="211"/>
      <c r="C236" s="253" t="s">
        <v>88</v>
      </c>
      <c r="D236" s="254"/>
      <c r="E236" s="38">
        <f>SUM(E229:E235)</f>
        <v>3</v>
      </c>
      <c r="F236" s="210" t="s">
        <v>89</v>
      </c>
      <c r="G236" s="40">
        <f>SUM(G229:G235)</f>
        <v>836.20689655172407</v>
      </c>
    </row>
    <row r="237" spans="2:7" x14ac:dyDescent="0.25">
      <c r="B237" s="211"/>
      <c r="C237" s="211"/>
      <c r="D237" s="211"/>
      <c r="E237" s="211"/>
      <c r="F237" s="210" t="s">
        <v>90</v>
      </c>
      <c r="G237" s="40">
        <f>G236*16%</f>
        <v>133.79310344827584</v>
      </c>
    </row>
    <row r="238" spans="2:7" x14ac:dyDescent="0.25">
      <c r="B238" s="210" t="s">
        <v>91</v>
      </c>
      <c r="C238" s="241" t="str">
        <f>IFERROR(VLOOKUP(D220,'DATOS REGISTRADOS'!B:R,17,FALSE)," ")</f>
        <v>Héctor Salamanca Salamanca</v>
      </c>
      <c r="D238" s="252"/>
      <c r="E238" s="242"/>
      <c r="F238" s="210" t="s">
        <v>57</v>
      </c>
      <c r="G238" s="68">
        <f>SUM(G236:G237)</f>
        <v>969.99999999999989</v>
      </c>
    </row>
    <row r="239" spans="2:7" x14ac:dyDescent="0.25">
      <c r="B239" s="245" t="s">
        <v>343</v>
      </c>
      <c r="C239" s="245"/>
      <c r="D239" s="245"/>
      <c r="E239" s="245"/>
      <c r="F239" s="245"/>
      <c r="G239" s="245"/>
    </row>
    <row r="240" spans="2:7" x14ac:dyDescent="0.25">
      <c r="B240" s="246" t="s">
        <v>124</v>
      </c>
      <c r="C240" s="247"/>
      <c r="D240" s="247"/>
      <c r="E240" s="247"/>
      <c r="F240" s="247"/>
      <c r="G240" s="248"/>
    </row>
    <row r="241" spans="2:7" x14ac:dyDescent="0.25">
      <c r="B241" s="54" t="s">
        <v>123</v>
      </c>
      <c r="C241" s="209"/>
      <c r="D241" s="245" t="s">
        <v>128</v>
      </c>
      <c r="E241" s="245"/>
      <c r="F241" s="245"/>
      <c r="G241" s="245"/>
    </row>
    <row r="244" spans="2:7" x14ac:dyDescent="0.25">
      <c r="B244" s="211"/>
      <c r="C244" s="211"/>
      <c r="D244" s="211"/>
      <c r="E244" s="211"/>
      <c r="F244" s="211"/>
      <c r="G244" s="211"/>
    </row>
    <row r="245" spans="2:7" x14ac:dyDescent="0.25">
      <c r="B245" s="211"/>
      <c r="C245" s="250" t="s">
        <v>22</v>
      </c>
      <c r="D245" s="250"/>
      <c r="E245" s="42"/>
      <c r="F245" s="250"/>
      <c r="G245" s="250"/>
    </row>
    <row r="246" spans="2:7" x14ac:dyDescent="0.25">
      <c r="B246" s="211"/>
      <c r="C246" s="251"/>
      <c r="D246" s="251"/>
      <c r="E246" s="211"/>
      <c r="F246" s="43"/>
      <c r="G246" s="211"/>
    </row>
    <row r="247" spans="2:7" x14ac:dyDescent="0.25">
      <c r="B247" s="211"/>
      <c r="C247" s="27" t="s">
        <v>77</v>
      </c>
      <c r="D247" s="120">
        <v>40</v>
      </c>
      <c r="E247" s="210" t="s">
        <v>125</v>
      </c>
      <c r="F247" s="56">
        <v>68</v>
      </c>
      <c r="G247" s="211"/>
    </row>
    <row r="248" spans="2:7" x14ac:dyDescent="0.25">
      <c r="B248" s="211"/>
      <c r="C248" s="29" t="s">
        <v>76</v>
      </c>
      <c r="D248" s="213">
        <f>IFERROR(VLOOKUP(D247,'DATOS REGISTRADOS'!B:Q,16,FALSE)," ")</f>
        <v>39</v>
      </c>
      <c r="E248" s="30" t="s">
        <v>78</v>
      </c>
      <c r="F248" s="31">
        <v>43619</v>
      </c>
      <c r="G248" s="211"/>
    </row>
    <row r="249" spans="2:7" x14ac:dyDescent="0.25">
      <c r="B249" s="255">
        <f>-F248</f>
        <v>-43619</v>
      </c>
      <c r="C249" s="256"/>
      <c r="D249" s="256"/>
      <c r="E249" s="256"/>
      <c r="F249" s="256"/>
      <c r="G249" s="256"/>
    </row>
    <row r="250" spans="2:7" x14ac:dyDescent="0.25">
      <c r="B250" s="210" t="s">
        <v>80</v>
      </c>
      <c r="C250" s="257" t="str">
        <f>IFERROR(VLOOKUP(D247,'DATOS REGISTRADOS'!B:C,2,FALSE)," ")</f>
        <v>Minerva Monsivais Alcala</v>
      </c>
      <c r="D250" s="257"/>
      <c r="E250" s="258"/>
      <c r="F250" s="258"/>
      <c r="G250" s="258"/>
    </row>
    <row r="251" spans="2:7" x14ac:dyDescent="0.25">
      <c r="B251" s="212" t="s">
        <v>81</v>
      </c>
      <c r="C251" s="259" t="str">
        <f>IFERROR(VLOOKUP(D247,'DATOS REGISTRADOS'!B:Q,3,FALSE)," ")</f>
        <v>Pedro de Jesus Gonzales orendain # 1015</v>
      </c>
      <c r="D251" s="260"/>
      <c r="E251" s="35" t="s">
        <v>82</v>
      </c>
      <c r="F251" s="261">
        <f>IFERROR(VLOOKUP(D247,'DATOS REGISTRADOS'!B:Q,7,FALSE)," ")</f>
        <v>8211195572</v>
      </c>
      <c r="G251" s="261"/>
    </row>
    <row r="252" spans="2:7" x14ac:dyDescent="0.25">
      <c r="B252" s="211"/>
      <c r="C252" s="243" t="str">
        <f>IFERROR(VLOOKUP(D247,'DATOS REGISTRADOS'!B:Q,4,FALSE)," ")</f>
        <v>infonavit misiones de San Gerardo</v>
      </c>
      <c r="D252" s="244"/>
      <c r="E252" s="211">
        <f>IFERROR(VLOOKUP(D247,'DATOS REGISTRADOS'!B:Q,16,FALSE)," ")</f>
        <v>39</v>
      </c>
      <c r="F252" s="211">
        <f>IFERROR(VLOOKUP(E252,'DATOS REGISTRADOS'!B:Q,16,FALSE)," ")</f>
        <v>11</v>
      </c>
      <c r="G252" s="211">
        <f>IFERROR(VLOOKUP(F252,'DATOS REGISTRADOS'!B:Q,16,FALSE)," ")</f>
        <v>10</v>
      </c>
    </row>
    <row r="253" spans="2:7" x14ac:dyDescent="0.25">
      <c r="B253" s="211"/>
      <c r="C253" s="66" t="str">
        <f>IFERROR(VLOOKUP(D247,'DATOS REGISTRADOS'!B:Q,5,FALSE)," ")</f>
        <v>Linares, NL</v>
      </c>
      <c r="D253" s="67">
        <f>IFERROR(VLOOKUP(D247,'DATOS REGISTRADOS'!B:Q,6,FALSE)," ")</f>
        <v>67778</v>
      </c>
      <c r="E253" s="211" t="s">
        <v>373</v>
      </c>
      <c r="F253" s="211" t="s">
        <v>374</v>
      </c>
      <c r="G253" s="211" t="s">
        <v>375</v>
      </c>
    </row>
    <row r="254" spans="2:7" x14ac:dyDescent="0.25">
      <c r="B254" s="256" t="s">
        <v>83</v>
      </c>
      <c r="C254" s="262"/>
      <c r="D254" s="262"/>
      <c r="E254" s="256"/>
      <c r="F254" s="256"/>
      <c r="G254" s="256"/>
    </row>
    <row r="255" spans="2:7" x14ac:dyDescent="0.25">
      <c r="B255" s="210" t="s">
        <v>84</v>
      </c>
      <c r="C255" s="249" t="s">
        <v>85</v>
      </c>
      <c r="D255" s="249"/>
      <c r="E255" s="210" t="s">
        <v>86</v>
      </c>
      <c r="F255" s="210" t="s">
        <v>87</v>
      </c>
      <c r="G255" s="210" t="s">
        <v>57</v>
      </c>
    </row>
    <row r="256" spans="2:7" x14ac:dyDescent="0.25">
      <c r="B256" s="120" t="s">
        <v>149</v>
      </c>
      <c r="C256" s="241" t="str">
        <f>IFERROR(VLOOKUP(B256,'Productos '!B:C,2,FALSE)," ")</f>
        <v>Crema regenerante</v>
      </c>
      <c r="D256" s="242"/>
      <c r="E256" s="120">
        <v>2</v>
      </c>
      <c r="F256" s="40">
        <f>IFERROR(VLOOKUP(B256,'Productos '!B:G,3,FALSE)," ")</f>
        <v>155.17241379310346</v>
      </c>
      <c r="G256" s="40">
        <f>IFERROR((F256*E256)," ")</f>
        <v>310.34482758620692</v>
      </c>
    </row>
    <row r="257" spans="2:7" x14ac:dyDescent="0.25">
      <c r="B257" s="120"/>
      <c r="C257" s="241" t="str">
        <f>IFERROR(VLOOKUP(B257,'Productos '!B:C,2,FALSE)," ")</f>
        <v xml:space="preserve"> </v>
      </c>
      <c r="D257" s="242"/>
      <c r="E257" s="120"/>
      <c r="F257" s="40" t="str">
        <f>IFERROR(VLOOKUP(B257,'Productos '!B:G,3,FALSE)," ")</f>
        <v xml:space="preserve"> </v>
      </c>
      <c r="G257" s="40" t="str">
        <f t="shared" ref="G257:G262" si="9">IFERROR((F257*E257)," ")</f>
        <v xml:space="preserve"> </v>
      </c>
    </row>
    <row r="258" spans="2:7" x14ac:dyDescent="0.25">
      <c r="B258" s="120"/>
      <c r="C258" s="241" t="str">
        <f>IFERROR(VLOOKUP(B258,'Productos '!B:C,2,FALSE)," ")</f>
        <v xml:space="preserve"> </v>
      </c>
      <c r="D258" s="242"/>
      <c r="E258" s="120"/>
      <c r="F258" s="40" t="str">
        <f>IFERROR(VLOOKUP(B258,'Productos '!B:G,3,FALSE)," ")</f>
        <v xml:space="preserve"> </v>
      </c>
      <c r="G258" s="40" t="str">
        <f t="shared" si="9"/>
        <v xml:space="preserve"> </v>
      </c>
    </row>
    <row r="259" spans="2:7" x14ac:dyDescent="0.25">
      <c r="B259" s="120"/>
      <c r="C259" s="241" t="str">
        <f>IFERROR(VLOOKUP(B259,'Productos '!B:C,2,FALSE)," ")</f>
        <v xml:space="preserve"> </v>
      </c>
      <c r="D259" s="242"/>
      <c r="E259" s="120"/>
      <c r="F259" s="40" t="str">
        <f>IFERROR(VLOOKUP(B259,'Productos '!B:G,3,FALSE)," ")</f>
        <v xml:space="preserve"> </v>
      </c>
      <c r="G259" s="40" t="str">
        <f t="shared" si="9"/>
        <v xml:space="preserve"> </v>
      </c>
    </row>
    <row r="260" spans="2:7" x14ac:dyDescent="0.25">
      <c r="B260" s="120"/>
      <c r="C260" s="241" t="str">
        <f>IFERROR(VLOOKUP(B260,'Productos '!B:C,2,FALSE)," ")</f>
        <v xml:space="preserve"> </v>
      </c>
      <c r="D260" s="242"/>
      <c r="E260" s="120"/>
      <c r="F260" s="40" t="str">
        <f>IFERROR(VLOOKUP(B260,'Productos '!B:G,3,FALSE)," ")</f>
        <v xml:space="preserve"> </v>
      </c>
      <c r="G260" s="40" t="str">
        <f t="shared" si="9"/>
        <v xml:space="preserve"> </v>
      </c>
    </row>
    <row r="261" spans="2:7" x14ac:dyDescent="0.25">
      <c r="B261" s="120"/>
      <c r="C261" s="241" t="str">
        <f>IFERROR(VLOOKUP(B261,'Productos '!B:C,2,FALSE)," ")</f>
        <v xml:space="preserve"> </v>
      </c>
      <c r="D261" s="242"/>
      <c r="E261" s="120"/>
      <c r="F261" s="40" t="str">
        <f>IFERROR(VLOOKUP(B261,'Productos '!B:G,3,FALSE)," ")</f>
        <v xml:space="preserve"> </v>
      </c>
      <c r="G261" s="40" t="str">
        <f t="shared" si="9"/>
        <v xml:space="preserve"> </v>
      </c>
    </row>
    <row r="262" spans="2:7" x14ac:dyDescent="0.25">
      <c r="B262" s="120"/>
      <c r="C262" s="241" t="str">
        <f>IFERROR(VLOOKUP(B262,'Productos '!B:C,2,FALSE)," ")</f>
        <v xml:space="preserve"> </v>
      </c>
      <c r="D262" s="242"/>
      <c r="E262" s="120"/>
      <c r="F262" s="40" t="str">
        <f>IFERROR(VLOOKUP(B262,'Productos '!B:G,3,FALSE)," ")</f>
        <v xml:space="preserve"> </v>
      </c>
      <c r="G262" s="40" t="str">
        <f t="shared" si="9"/>
        <v xml:space="preserve"> </v>
      </c>
    </row>
    <row r="263" spans="2:7" x14ac:dyDescent="0.25">
      <c r="B263" s="211"/>
      <c r="C263" s="253" t="s">
        <v>88</v>
      </c>
      <c r="D263" s="254"/>
      <c r="E263" s="38">
        <f>SUM(E256:E262)</f>
        <v>2</v>
      </c>
      <c r="F263" s="210" t="s">
        <v>89</v>
      </c>
      <c r="G263" s="40">
        <f>SUM(G256:G262)</f>
        <v>310.34482758620692</v>
      </c>
    </row>
    <row r="264" spans="2:7" x14ac:dyDescent="0.25">
      <c r="B264" s="211"/>
      <c r="C264" s="211"/>
      <c r="D264" s="211"/>
      <c r="E264" s="211"/>
      <c r="F264" s="210" t="s">
        <v>90</v>
      </c>
      <c r="G264" s="40">
        <f>G263*16%</f>
        <v>49.65517241379311</v>
      </c>
    </row>
    <row r="265" spans="2:7" x14ac:dyDescent="0.25">
      <c r="B265" s="210" t="s">
        <v>91</v>
      </c>
      <c r="C265" s="241" t="str">
        <f>IFERROR(VLOOKUP(D247,'DATOS REGISTRADOS'!B:R,17,FALSE)," ")</f>
        <v>Cruz Monsivais Alcala</v>
      </c>
      <c r="D265" s="252"/>
      <c r="E265" s="242"/>
      <c r="F265" s="210" t="s">
        <v>57</v>
      </c>
      <c r="G265" s="68">
        <f>SUM(G263:G264)</f>
        <v>360</v>
      </c>
    </row>
    <row r="266" spans="2:7" x14ac:dyDescent="0.25">
      <c r="B266" s="245" t="s">
        <v>343</v>
      </c>
      <c r="C266" s="245"/>
      <c r="D266" s="245"/>
      <c r="E266" s="245"/>
      <c r="F266" s="245"/>
      <c r="G266" s="245"/>
    </row>
    <row r="267" spans="2:7" x14ac:dyDescent="0.25">
      <c r="B267" s="246" t="s">
        <v>124</v>
      </c>
      <c r="C267" s="247"/>
      <c r="D267" s="247"/>
      <c r="E267" s="247"/>
      <c r="F267" s="247"/>
      <c r="G267" s="248"/>
    </row>
    <row r="268" spans="2:7" x14ac:dyDescent="0.25">
      <c r="B268" s="54" t="s">
        <v>123</v>
      </c>
      <c r="C268" s="209"/>
      <c r="D268" s="245" t="s">
        <v>128</v>
      </c>
      <c r="E268" s="245"/>
      <c r="F268" s="245"/>
      <c r="G268" s="245"/>
    </row>
    <row r="271" spans="2:7" x14ac:dyDescent="0.25">
      <c r="B271" s="205"/>
      <c r="C271" s="205"/>
      <c r="D271" s="205"/>
      <c r="E271" s="205"/>
      <c r="F271" s="205"/>
      <c r="G271" s="205"/>
    </row>
    <row r="272" spans="2:7" x14ac:dyDescent="0.25">
      <c r="B272" s="205"/>
      <c r="C272" s="250" t="s">
        <v>22</v>
      </c>
      <c r="D272" s="250"/>
      <c r="E272" s="42"/>
      <c r="F272" s="250"/>
      <c r="G272" s="250"/>
    </row>
    <row r="273" spans="2:7" x14ac:dyDescent="0.25">
      <c r="B273" s="205"/>
      <c r="C273" s="251"/>
      <c r="D273" s="251"/>
      <c r="E273" s="205"/>
      <c r="F273" s="43"/>
      <c r="G273" s="205"/>
    </row>
    <row r="274" spans="2:7" x14ac:dyDescent="0.25">
      <c r="B274" s="205"/>
      <c r="C274" s="27" t="s">
        <v>77</v>
      </c>
      <c r="D274" s="120">
        <v>11</v>
      </c>
      <c r="E274" s="207" t="s">
        <v>125</v>
      </c>
      <c r="F274" s="56">
        <v>67</v>
      </c>
      <c r="G274" s="205"/>
    </row>
    <row r="275" spans="2:7" x14ac:dyDescent="0.25">
      <c r="B275" s="205"/>
      <c r="C275" s="29" t="s">
        <v>76</v>
      </c>
      <c r="D275" s="204">
        <f>IFERROR(VLOOKUP(D274,'DATOS REGISTRADOS'!B:Q,16,FALSE)," ")</f>
        <v>10</v>
      </c>
      <c r="E275" s="30" t="s">
        <v>78</v>
      </c>
      <c r="F275" s="31">
        <v>43609</v>
      </c>
      <c r="G275" s="205"/>
    </row>
    <row r="276" spans="2:7" x14ac:dyDescent="0.25">
      <c r="B276" s="256" t="s">
        <v>79</v>
      </c>
      <c r="C276" s="256"/>
      <c r="D276" s="256"/>
      <c r="E276" s="256"/>
      <c r="F276" s="256"/>
      <c r="G276" s="256"/>
    </row>
    <row r="277" spans="2:7" x14ac:dyDescent="0.25">
      <c r="B277" s="207" t="s">
        <v>80</v>
      </c>
      <c r="C277" s="257" t="str">
        <f>IFERROR(VLOOKUP(D274,'DATOS REGISTRADOS'!B:C,2,FALSE)," ")</f>
        <v>Silvano Cavazos Salazar</v>
      </c>
      <c r="D277" s="257"/>
      <c r="E277" s="258"/>
      <c r="F277" s="258"/>
      <c r="G277" s="258"/>
    </row>
    <row r="278" spans="2:7" x14ac:dyDescent="0.25">
      <c r="B278" s="208" t="s">
        <v>81</v>
      </c>
      <c r="C278" s="259" t="str">
        <f>IFERROR(VLOOKUP(D274,'DATOS REGISTRADOS'!B:Q,3,FALSE)," ")</f>
        <v>Carolina #436</v>
      </c>
      <c r="D278" s="260"/>
      <c r="E278" s="35" t="s">
        <v>82</v>
      </c>
      <c r="F278" s="261" t="str">
        <f>IFERROR(VLOOKUP(D274,'DATOS REGISTRADOS'!B:Q,7,FALSE)," ")</f>
        <v>wp 81-23-71-31-11</v>
      </c>
      <c r="G278" s="261"/>
    </row>
    <row r="279" spans="2:7" x14ac:dyDescent="0.25">
      <c r="B279" s="205"/>
      <c r="C279" s="243" t="str">
        <f>IFERROR(VLOOKUP(D274,'DATOS REGISTRADOS'!B:Q,4,FALSE)," ")</f>
        <v>Los pinceles, Apocada, NL</v>
      </c>
      <c r="D279" s="244"/>
      <c r="E279" s="205">
        <f>IFERROR(VLOOKUP(D274,'DATOS REGISTRADOS'!B:Q,16,FALSE)," ")</f>
        <v>10</v>
      </c>
      <c r="F279" s="205">
        <f>IFERROR(VLOOKUP(E279,'DATOS REGISTRADOS'!B:Q,16,FALSE)," ")</f>
        <v>1</v>
      </c>
      <c r="G279" s="205">
        <f>IFERROR(VLOOKUP(F279,'DATOS REGISTRADOS'!B:Q,16,FALSE)," ")</f>
        <v>1</v>
      </c>
    </row>
    <row r="280" spans="2:7" x14ac:dyDescent="0.25">
      <c r="B280" s="205"/>
      <c r="C280" s="66" t="str">
        <f>IFERROR(VLOOKUP(D274,'DATOS REGISTRADOS'!B:Q,5,FALSE)," ")</f>
        <v>Nuevo León</v>
      </c>
      <c r="D280" s="67">
        <f>IFERROR(VLOOKUP(D274,'DATOS REGISTRADOS'!B:Q,6,FALSE)," ")</f>
        <v>66647</v>
      </c>
      <c r="E280" s="205" t="s">
        <v>373</v>
      </c>
      <c r="F280" s="205" t="s">
        <v>374</v>
      </c>
      <c r="G280" s="205" t="s">
        <v>375</v>
      </c>
    </row>
    <row r="281" spans="2:7" x14ac:dyDescent="0.25">
      <c r="B281" s="256" t="s">
        <v>83</v>
      </c>
      <c r="C281" s="262"/>
      <c r="D281" s="262"/>
      <c r="E281" s="256"/>
      <c r="F281" s="256"/>
      <c r="G281" s="256"/>
    </row>
    <row r="282" spans="2:7" x14ac:dyDescent="0.25">
      <c r="B282" s="207" t="s">
        <v>84</v>
      </c>
      <c r="C282" s="249" t="s">
        <v>85</v>
      </c>
      <c r="D282" s="249"/>
      <c r="E282" s="207" t="s">
        <v>86</v>
      </c>
      <c r="F282" s="207" t="s">
        <v>87</v>
      </c>
      <c r="G282" s="207" t="s">
        <v>57</v>
      </c>
    </row>
    <row r="283" spans="2:7" x14ac:dyDescent="0.25">
      <c r="B283" s="120"/>
      <c r="C283" s="241" t="str">
        <f>IFERROR(VLOOKUP(B283,'Productos '!B:C,2,FALSE)," ")</f>
        <v xml:space="preserve"> </v>
      </c>
      <c r="D283" s="242"/>
      <c r="E283" s="120"/>
      <c r="F283" s="40" t="str">
        <f>IFERROR(VLOOKUP(B283,'Productos '!B:G,3,FALSE)," ")</f>
        <v xml:space="preserve"> </v>
      </c>
      <c r="G283" s="40" t="str">
        <f>IFERROR((F283*E283)," ")</f>
        <v xml:space="preserve"> </v>
      </c>
    </row>
    <row r="284" spans="2:7" x14ac:dyDescent="0.25">
      <c r="B284" s="120" t="s">
        <v>126</v>
      </c>
      <c r="C284" s="241" t="str">
        <f>IFERROR(VLOOKUP(B284,'Productos '!B:C,2,FALSE)," ")</f>
        <v>Recompra 1 Activador Celular</v>
      </c>
      <c r="D284" s="242"/>
      <c r="E284" s="120">
        <v>1</v>
      </c>
      <c r="F284" s="40">
        <f>IFERROR(VLOOKUP(B284,'Productos '!B:G,3,FALSE)," ")</f>
        <v>431.0344827586207</v>
      </c>
      <c r="G284" s="40">
        <f t="shared" ref="G284:G289" si="10">IFERROR((F284*E284)," ")</f>
        <v>431.0344827586207</v>
      </c>
    </row>
    <row r="285" spans="2:7" x14ac:dyDescent="0.25">
      <c r="B285" s="120" t="s">
        <v>323</v>
      </c>
      <c r="C285" s="241" t="str">
        <f>IFERROR(VLOOKUP(B285,'Productos '!B:C,2,FALSE)," ")</f>
        <v>Promoción ActiCell</v>
      </c>
      <c r="D285" s="242"/>
      <c r="E285" s="120">
        <v>1</v>
      </c>
      <c r="F285" s="40">
        <f>IFERROR(VLOOKUP(B285,'Productos '!B:G,3,FALSE)," ")</f>
        <v>301.72413793103448</v>
      </c>
      <c r="G285" s="40">
        <f t="shared" si="10"/>
        <v>301.72413793103448</v>
      </c>
    </row>
    <row r="286" spans="2:7" x14ac:dyDescent="0.25">
      <c r="B286" s="120"/>
      <c r="C286" s="241" t="str">
        <f>IFERROR(VLOOKUP(B286,'Productos '!B:C,2,FALSE)," ")</f>
        <v xml:space="preserve"> </v>
      </c>
      <c r="D286" s="242"/>
      <c r="E286" s="120"/>
      <c r="F286" s="40" t="str">
        <f>IFERROR(VLOOKUP(B286,'Productos '!B:G,3,FALSE)," ")</f>
        <v xml:space="preserve"> </v>
      </c>
      <c r="G286" s="40" t="str">
        <f t="shared" si="10"/>
        <v xml:space="preserve"> </v>
      </c>
    </row>
    <row r="287" spans="2:7" x14ac:dyDescent="0.25">
      <c r="B287" s="120" t="s">
        <v>321</v>
      </c>
      <c r="C287" s="241" t="str">
        <f>IFERROR(VLOOKUP(B287,'Productos '!B:C,2,FALSE)," ")</f>
        <v>Envio</v>
      </c>
      <c r="D287" s="242"/>
      <c r="E287" s="120">
        <v>1</v>
      </c>
      <c r="F287" s="40">
        <f>IFERROR(VLOOKUP(B287,'Productos '!B:G,3,FALSE)," ")</f>
        <v>103.44827586206897</v>
      </c>
      <c r="G287" s="40">
        <f t="shared" si="10"/>
        <v>103.44827586206897</v>
      </c>
    </row>
    <row r="288" spans="2:7" x14ac:dyDescent="0.25">
      <c r="B288" s="120"/>
      <c r="C288" s="241" t="str">
        <f>IFERROR(VLOOKUP(B288,'Productos '!B:C,2,FALSE)," ")</f>
        <v xml:space="preserve"> </v>
      </c>
      <c r="D288" s="242"/>
      <c r="E288" s="120"/>
      <c r="F288" s="40" t="str">
        <f>IFERROR(VLOOKUP(B288,'Productos '!B:G,3,FALSE)," ")</f>
        <v xml:space="preserve"> </v>
      </c>
      <c r="G288" s="40" t="str">
        <f t="shared" si="10"/>
        <v xml:space="preserve"> </v>
      </c>
    </row>
    <row r="289" spans="2:7" x14ac:dyDescent="0.25">
      <c r="B289" s="120"/>
      <c r="C289" s="241" t="str">
        <f>IFERROR(VLOOKUP(B289,'Productos '!B:C,2,FALSE)," ")</f>
        <v xml:space="preserve"> </v>
      </c>
      <c r="D289" s="242"/>
      <c r="E289" s="120"/>
      <c r="F289" s="40" t="str">
        <f>IFERROR(VLOOKUP(B289,'Productos '!B:G,3,FALSE)," ")</f>
        <v xml:space="preserve"> </v>
      </c>
      <c r="G289" s="40" t="str">
        <f t="shared" si="10"/>
        <v xml:space="preserve"> </v>
      </c>
    </row>
    <row r="290" spans="2:7" x14ac:dyDescent="0.25">
      <c r="B290" s="205"/>
      <c r="C290" s="253" t="s">
        <v>88</v>
      </c>
      <c r="D290" s="254"/>
      <c r="E290" s="38">
        <f>SUM(E283:E289)</f>
        <v>3</v>
      </c>
      <c r="F290" s="207" t="s">
        <v>89</v>
      </c>
      <c r="G290" s="40">
        <f>SUM(G283:G289)</f>
        <v>836.20689655172407</v>
      </c>
    </row>
    <row r="291" spans="2:7" x14ac:dyDescent="0.25">
      <c r="B291" s="205"/>
      <c r="C291" s="205"/>
      <c r="D291" s="205"/>
      <c r="E291" s="205"/>
      <c r="F291" s="207" t="s">
        <v>90</v>
      </c>
      <c r="G291" s="40">
        <f>G290*16%</f>
        <v>133.79310344827584</v>
      </c>
    </row>
    <row r="292" spans="2:7" x14ac:dyDescent="0.25">
      <c r="B292" s="207" t="s">
        <v>91</v>
      </c>
      <c r="C292" s="241" t="str">
        <f>IFERROR(VLOOKUP(D274,'DATOS REGISTRADOS'!B:R,17,FALSE)," ")</f>
        <v>Héctor Salamanca Salamanca</v>
      </c>
      <c r="D292" s="252"/>
      <c r="E292" s="242"/>
      <c r="F292" s="207" t="s">
        <v>57</v>
      </c>
      <c r="G292" s="68">
        <f>SUM(G290:G291)</f>
        <v>969.99999999999989</v>
      </c>
    </row>
    <row r="293" spans="2:7" x14ac:dyDescent="0.25">
      <c r="B293" s="245" t="s">
        <v>343</v>
      </c>
      <c r="C293" s="245"/>
      <c r="D293" s="245"/>
      <c r="E293" s="245"/>
      <c r="F293" s="245"/>
      <c r="G293" s="245"/>
    </row>
    <row r="294" spans="2:7" x14ac:dyDescent="0.25">
      <c r="B294" s="246" t="s">
        <v>124</v>
      </c>
      <c r="C294" s="247"/>
      <c r="D294" s="247"/>
      <c r="E294" s="247"/>
      <c r="F294" s="247"/>
      <c r="G294" s="248"/>
    </row>
    <row r="295" spans="2:7" x14ac:dyDescent="0.25">
      <c r="B295" s="54" t="s">
        <v>123</v>
      </c>
      <c r="C295" s="206"/>
      <c r="D295" s="245" t="s">
        <v>128</v>
      </c>
      <c r="E295" s="245"/>
      <c r="F295" s="245"/>
      <c r="G295" s="245"/>
    </row>
    <row r="298" spans="2:7" x14ac:dyDescent="0.25">
      <c r="B298" s="205"/>
      <c r="C298" s="205"/>
      <c r="D298" s="205"/>
      <c r="E298" s="205"/>
      <c r="F298" s="205"/>
      <c r="G298" s="205"/>
    </row>
    <row r="299" spans="2:7" x14ac:dyDescent="0.25">
      <c r="B299" s="205"/>
      <c r="C299" s="250" t="s">
        <v>22</v>
      </c>
      <c r="D299" s="250"/>
      <c r="E299" s="42"/>
      <c r="F299" s="250"/>
      <c r="G299" s="250"/>
    </row>
    <row r="300" spans="2:7" x14ac:dyDescent="0.25">
      <c r="B300" s="205"/>
      <c r="C300" s="251"/>
      <c r="D300" s="251"/>
      <c r="E300" s="205"/>
      <c r="F300" s="43"/>
      <c r="G300" s="205"/>
    </row>
    <row r="301" spans="2:7" x14ac:dyDescent="0.25">
      <c r="B301" s="205"/>
      <c r="C301" s="27" t="s">
        <v>77</v>
      </c>
      <c r="D301" s="120">
        <v>40</v>
      </c>
      <c r="E301" s="207" t="s">
        <v>125</v>
      </c>
      <c r="F301" s="56">
        <v>66</v>
      </c>
      <c r="G301" s="205"/>
    </row>
    <row r="302" spans="2:7" x14ac:dyDescent="0.25">
      <c r="B302" s="205"/>
      <c r="C302" s="29" t="s">
        <v>76</v>
      </c>
      <c r="D302" s="204">
        <f>IFERROR(VLOOKUP(D301,'DATOS REGISTRADOS'!B:Q,16,FALSE)," ")</f>
        <v>39</v>
      </c>
      <c r="E302" s="30" t="s">
        <v>78</v>
      </c>
      <c r="F302" s="31">
        <v>43609</v>
      </c>
      <c r="G302" s="205"/>
    </row>
    <row r="303" spans="2:7" x14ac:dyDescent="0.25">
      <c r="B303" s="256" t="s">
        <v>79</v>
      </c>
      <c r="C303" s="256"/>
      <c r="D303" s="256"/>
      <c r="E303" s="256"/>
      <c r="F303" s="256"/>
      <c r="G303" s="256"/>
    </row>
    <row r="304" spans="2:7" x14ac:dyDescent="0.25">
      <c r="B304" s="207" t="s">
        <v>80</v>
      </c>
      <c r="C304" s="257" t="str">
        <f>IFERROR(VLOOKUP(D301,'DATOS REGISTRADOS'!B:C,2,FALSE)," ")</f>
        <v>Minerva Monsivais Alcala</v>
      </c>
      <c r="D304" s="257"/>
      <c r="E304" s="258"/>
      <c r="F304" s="258"/>
      <c r="G304" s="258"/>
    </row>
    <row r="305" spans="2:7" x14ac:dyDescent="0.25">
      <c r="B305" s="208" t="s">
        <v>81</v>
      </c>
      <c r="C305" s="259" t="str">
        <f>IFERROR(VLOOKUP(D301,'DATOS REGISTRADOS'!B:Q,3,FALSE)," ")</f>
        <v>Pedro de Jesus Gonzales orendain # 1015</v>
      </c>
      <c r="D305" s="260"/>
      <c r="E305" s="35" t="s">
        <v>82</v>
      </c>
      <c r="F305" s="261">
        <f>IFERROR(VLOOKUP(D301,'DATOS REGISTRADOS'!B:Q,7,FALSE)," ")</f>
        <v>8211195572</v>
      </c>
      <c r="G305" s="261"/>
    </row>
    <row r="306" spans="2:7" x14ac:dyDescent="0.25">
      <c r="B306" s="205"/>
      <c r="C306" s="243" t="str">
        <f>IFERROR(VLOOKUP(D301,'DATOS REGISTRADOS'!B:Q,4,FALSE)," ")</f>
        <v>infonavit misiones de San Gerardo</v>
      </c>
      <c r="D306" s="244"/>
      <c r="E306" s="205">
        <f>IFERROR(VLOOKUP(D301,'DATOS REGISTRADOS'!B:Q,16,FALSE)," ")</f>
        <v>39</v>
      </c>
      <c r="F306" s="205">
        <f>IFERROR(VLOOKUP(E306,'DATOS REGISTRADOS'!B:Q,16,FALSE)," ")</f>
        <v>11</v>
      </c>
      <c r="G306" s="205">
        <f>IFERROR(VLOOKUP(F306,'DATOS REGISTRADOS'!B:Q,16,FALSE)," ")</f>
        <v>10</v>
      </c>
    </row>
    <row r="307" spans="2:7" x14ac:dyDescent="0.25">
      <c r="B307" s="205"/>
      <c r="C307" s="66" t="str">
        <f>IFERROR(VLOOKUP(D301,'DATOS REGISTRADOS'!B:Q,5,FALSE)," ")</f>
        <v>Linares, NL</v>
      </c>
      <c r="D307" s="67">
        <f>IFERROR(VLOOKUP(D301,'DATOS REGISTRADOS'!B:Q,6,FALSE)," ")</f>
        <v>67778</v>
      </c>
      <c r="E307" s="205" t="s">
        <v>373</v>
      </c>
      <c r="F307" s="205" t="s">
        <v>374</v>
      </c>
      <c r="G307" s="205" t="s">
        <v>375</v>
      </c>
    </row>
    <row r="308" spans="2:7" x14ac:dyDescent="0.25">
      <c r="B308" s="256" t="s">
        <v>83</v>
      </c>
      <c r="C308" s="262"/>
      <c r="D308" s="262"/>
      <c r="E308" s="256"/>
      <c r="F308" s="256"/>
      <c r="G308" s="256"/>
    </row>
    <row r="309" spans="2:7" x14ac:dyDescent="0.25">
      <c r="B309" s="207" t="s">
        <v>84</v>
      </c>
      <c r="C309" s="249" t="s">
        <v>85</v>
      </c>
      <c r="D309" s="249"/>
      <c r="E309" s="207" t="s">
        <v>86</v>
      </c>
      <c r="F309" s="207" t="s">
        <v>87</v>
      </c>
      <c r="G309" s="207" t="s">
        <v>57</v>
      </c>
    </row>
    <row r="310" spans="2:7" x14ac:dyDescent="0.25">
      <c r="B310" s="120" t="s">
        <v>149</v>
      </c>
      <c r="C310" s="241" t="str">
        <f>IFERROR(VLOOKUP(B310,'Productos '!B:C,2,FALSE)," ")</f>
        <v>Crema regenerante</v>
      </c>
      <c r="D310" s="242"/>
      <c r="E310" s="120">
        <v>2</v>
      </c>
      <c r="F310" s="40">
        <f>IFERROR(VLOOKUP(B310,'Productos '!B:G,3,FALSE)," ")</f>
        <v>155.17241379310346</v>
      </c>
      <c r="G310" s="40">
        <f>IFERROR((F310*E310)," ")</f>
        <v>310.34482758620692</v>
      </c>
    </row>
    <row r="311" spans="2:7" x14ac:dyDescent="0.25">
      <c r="B311" s="120"/>
      <c r="C311" s="241" t="str">
        <f>IFERROR(VLOOKUP(B311,'Productos '!B:C,2,FALSE)," ")</f>
        <v xml:space="preserve"> </v>
      </c>
      <c r="D311" s="242"/>
      <c r="E311" s="120"/>
      <c r="F311" s="40" t="str">
        <f>IFERROR(VLOOKUP(B311,'Productos '!B:G,3,FALSE)," ")</f>
        <v xml:space="preserve"> </v>
      </c>
      <c r="G311" s="40" t="str">
        <f t="shared" ref="G311:G316" si="11">IFERROR((F311*E311)," ")</f>
        <v xml:space="preserve"> </v>
      </c>
    </row>
    <row r="312" spans="2:7" x14ac:dyDescent="0.25">
      <c r="B312" s="120"/>
      <c r="C312" s="241" t="str">
        <f>IFERROR(VLOOKUP(B312,'Productos '!B:C,2,FALSE)," ")</f>
        <v xml:space="preserve"> </v>
      </c>
      <c r="D312" s="242"/>
      <c r="E312" s="120"/>
      <c r="F312" s="40" t="str">
        <f>IFERROR(VLOOKUP(B312,'Productos '!B:G,3,FALSE)," ")</f>
        <v xml:space="preserve"> </v>
      </c>
      <c r="G312" s="40" t="str">
        <f t="shared" si="11"/>
        <v xml:space="preserve"> </v>
      </c>
    </row>
    <row r="313" spans="2:7" x14ac:dyDescent="0.25">
      <c r="B313" s="120"/>
      <c r="C313" s="241" t="str">
        <f>IFERROR(VLOOKUP(B313,'Productos '!B:C,2,FALSE)," ")</f>
        <v xml:space="preserve"> </v>
      </c>
      <c r="D313" s="242"/>
      <c r="E313" s="120"/>
      <c r="F313" s="40" t="str">
        <f>IFERROR(VLOOKUP(B313,'Productos '!B:G,3,FALSE)," ")</f>
        <v xml:space="preserve"> </v>
      </c>
      <c r="G313" s="40" t="str">
        <f t="shared" si="11"/>
        <v xml:space="preserve"> </v>
      </c>
    </row>
    <row r="314" spans="2:7" x14ac:dyDescent="0.25">
      <c r="B314" s="120"/>
      <c r="C314" s="241" t="str">
        <f>IFERROR(VLOOKUP(B314,'Productos '!B:C,2,FALSE)," ")</f>
        <v xml:space="preserve"> </v>
      </c>
      <c r="D314" s="242"/>
      <c r="E314" s="120"/>
      <c r="F314" s="40" t="str">
        <f>IFERROR(VLOOKUP(B314,'Productos '!B:G,3,FALSE)," ")</f>
        <v xml:space="preserve"> </v>
      </c>
      <c r="G314" s="40" t="str">
        <f t="shared" si="11"/>
        <v xml:space="preserve"> </v>
      </c>
    </row>
    <row r="315" spans="2:7" x14ac:dyDescent="0.25">
      <c r="B315" s="120"/>
      <c r="C315" s="241" t="str">
        <f>IFERROR(VLOOKUP(B315,'Productos '!B:C,2,FALSE)," ")</f>
        <v xml:space="preserve"> </v>
      </c>
      <c r="D315" s="242"/>
      <c r="E315" s="120"/>
      <c r="F315" s="40" t="str">
        <f>IFERROR(VLOOKUP(B315,'Productos '!B:G,3,FALSE)," ")</f>
        <v xml:space="preserve"> </v>
      </c>
      <c r="G315" s="40" t="str">
        <f t="shared" si="11"/>
        <v xml:space="preserve"> </v>
      </c>
    </row>
    <row r="316" spans="2:7" x14ac:dyDescent="0.25">
      <c r="B316" s="120"/>
      <c r="C316" s="241" t="str">
        <f>IFERROR(VLOOKUP(B316,'Productos '!B:C,2,FALSE)," ")</f>
        <v xml:space="preserve"> </v>
      </c>
      <c r="D316" s="242"/>
      <c r="E316" s="120"/>
      <c r="F316" s="40" t="str">
        <f>IFERROR(VLOOKUP(B316,'Productos '!B:G,3,FALSE)," ")</f>
        <v xml:space="preserve"> </v>
      </c>
      <c r="G316" s="40" t="str">
        <f t="shared" si="11"/>
        <v xml:space="preserve"> </v>
      </c>
    </row>
    <row r="317" spans="2:7" x14ac:dyDescent="0.25">
      <c r="B317" s="205"/>
      <c r="C317" s="253" t="s">
        <v>88</v>
      </c>
      <c r="D317" s="254"/>
      <c r="E317" s="38">
        <f>SUM(E310:E316)</f>
        <v>2</v>
      </c>
      <c r="F317" s="207" t="s">
        <v>89</v>
      </c>
      <c r="G317" s="40">
        <f>SUM(G310:G316)</f>
        <v>310.34482758620692</v>
      </c>
    </row>
    <row r="318" spans="2:7" x14ac:dyDescent="0.25">
      <c r="B318" s="205"/>
      <c r="C318" s="205"/>
      <c r="D318" s="205"/>
      <c r="E318" s="205"/>
      <c r="F318" s="207" t="s">
        <v>90</v>
      </c>
      <c r="G318" s="40">
        <f>G317*16%</f>
        <v>49.65517241379311</v>
      </c>
    </row>
    <row r="319" spans="2:7" x14ac:dyDescent="0.25">
      <c r="B319" s="207" t="s">
        <v>91</v>
      </c>
      <c r="C319" s="241" t="str">
        <f>IFERROR(VLOOKUP(D301,'DATOS REGISTRADOS'!B:R,17,FALSE)," ")</f>
        <v>Cruz Monsivais Alcala</v>
      </c>
      <c r="D319" s="252"/>
      <c r="E319" s="242"/>
      <c r="F319" s="207" t="s">
        <v>57</v>
      </c>
      <c r="G319" s="68">
        <f>SUM(G317:G318)</f>
        <v>360</v>
      </c>
    </row>
    <row r="320" spans="2:7" x14ac:dyDescent="0.25">
      <c r="B320" s="245" t="s">
        <v>343</v>
      </c>
      <c r="C320" s="245"/>
      <c r="D320" s="245"/>
      <c r="E320" s="245"/>
      <c r="F320" s="245"/>
      <c r="G320" s="245"/>
    </row>
    <row r="321" spans="2:7" x14ac:dyDescent="0.25">
      <c r="B321" s="246" t="s">
        <v>124</v>
      </c>
      <c r="C321" s="247"/>
      <c r="D321" s="247"/>
      <c r="E321" s="247"/>
      <c r="F321" s="247"/>
      <c r="G321" s="248"/>
    </row>
    <row r="322" spans="2:7" x14ac:dyDescent="0.25">
      <c r="B322" s="54" t="s">
        <v>123</v>
      </c>
      <c r="C322" s="206"/>
      <c r="D322" s="245" t="s">
        <v>128</v>
      </c>
      <c r="E322" s="245"/>
      <c r="F322" s="245"/>
      <c r="G322" s="245"/>
    </row>
    <row r="325" spans="2:7" x14ac:dyDescent="0.25">
      <c r="B325" s="201"/>
      <c r="C325" s="201"/>
      <c r="D325" s="201"/>
      <c r="E325" s="201"/>
      <c r="F325" s="201"/>
      <c r="G325" s="201"/>
    </row>
    <row r="326" spans="2:7" x14ac:dyDescent="0.25">
      <c r="B326" s="201"/>
      <c r="C326" s="250" t="s">
        <v>22</v>
      </c>
      <c r="D326" s="250"/>
      <c r="E326" s="42"/>
      <c r="F326" s="250"/>
      <c r="G326" s="250"/>
    </row>
    <row r="327" spans="2:7" x14ac:dyDescent="0.25">
      <c r="B327" s="201"/>
      <c r="C327" s="251"/>
      <c r="D327" s="251"/>
      <c r="E327" s="201"/>
      <c r="F327" s="43"/>
      <c r="G327" s="201"/>
    </row>
    <row r="328" spans="2:7" x14ac:dyDescent="0.25">
      <c r="B328" s="201"/>
      <c r="C328" s="27" t="s">
        <v>77</v>
      </c>
      <c r="D328" s="120">
        <v>57</v>
      </c>
      <c r="E328" s="200" t="s">
        <v>125</v>
      </c>
      <c r="F328" s="56">
        <v>65</v>
      </c>
      <c r="G328" s="201"/>
    </row>
    <row r="329" spans="2:7" x14ac:dyDescent="0.25">
      <c r="B329" s="201"/>
      <c r="C329" s="29" t="s">
        <v>76</v>
      </c>
      <c r="D329" s="203">
        <f>IFERROR(VLOOKUP(D328,'DATOS REGISTRADOS'!B:Q,16,FALSE)," ")</f>
        <v>35</v>
      </c>
      <c r="E329" s="30" t="s">
        <v>78</v>
      </c>
      <c r="F329" s="31">
        <v>43609</v>
      </c>
      <c r="G329" s="201"/>
    </row>
    <row r="330" spans="2:7" x14ac:dyDescent="0.25">
      <c r="B330" s="256" t="s">
        <v>79</v>
      </c>
      <c r="C330" s="256"/>
      <c r="D330" s="256"/>
      <c r="E330" s="256"/>
      <c r="F330" s="256"/>
      <c r="G330" s="256"/>
    </row>
    <row r="331" spans="2:7" x14ac:dyDescent="0.25">
      <c r="B331" s="200" t="s">
        <v>80</v>
      </c>
      <c r="C331" s="257" t="str">
        <f>IFERROR(VLOOKUP(D328,'DATOS REGISTRADOS'!B:C,2,FALSE)," ")</f>
        <v>Lorenza de la Rosa Moreno</v>
      </c>
      <c r="D331" s="257"/>
      <c r="E331" s="258"/>
      <c r="F331" s="258"/>
      <c r="G331" s="258"/>
    </row>
    <row r="332" spans="2:7" x14ac:dyDescent="0.25">
      <c r="B332" s="202" t="s">
        <v>81</v>
      </c>
      <c r="C332" s="259" t="str">
        <f>IFERROR(VLOOKUP(D328,'DATOS REGISTRADOS'!B:Q,3,FALSE)," ")</f>
        <v>jazmin # 334 los vitrales</v>
      </c>
      <c r="D332" s="260"/>
      <c r="E332" s="35" t="s">
        <v>82</v>
      </c>
      <c r="F332" s="261">
        <f>IFERROR(VLOOKUP(D328,'DATOS REGISTRADOS'!B:Q,7,FALSE)," ")</f>
        <v>8124083143</v>
      </c>
      <c r="G332" s="261"/>
    </row>
    <row r="333" spans="2:7" x14ac:dyDescent="0.25">
      <c r="B333" s="201"/>
      <c r="C333" s="243">
        <f>IFERROR(VLOOKUP(D328,'DATOS REGISTRADOS'!B:Q,4,FALSE)," ")</f>
        <v>0</v>
      </c>
      <c r="D333" s="244"/>
      <c r="E333" s="201">
        <f>IFERROR(VLOOKUP(D328,'DATOS REGISTRADOS'!B:Q,16,FALSE)," ")</f>
        <v>35</v>
      </c>
      <c r="F333" s="201">
        <f>IFERROR(VLOOKUP(E333,'DATOS REGISTRADOS'!B:Q,16,FALSE)," ")</f>
        <v>30</v>
      </c>
      <c r="G333" s="201">
        <f>IFERROR(VLOOKUP(F333,'DATOS REGISTRADOS'!B:Q,16,FALSE)," ")</f>
        <v>15</v>
      </c>
    </row>
    <row r="334" spans="2:7" x14ac:dyDescent="0.25">
      <c r="B334" s="201"/>
      <c r="C334" s="66" t="str">
        <f>IFERROR(VLOOKUP(D328,'DATOS REGISTRADOS'!B:Q,5,FALSE)," ")</f>
        <v>Apodaca NL</v>
      </c>
      <c r="D334" s="67">
        <f>IFERROR(VLOOKUP(D328,'DATOS REGISTRADOS'!B:Q,6,FALSE)," ")</f>
        <v>66647</v>
      </c>
      <c r="E334" s="201" t="s">
        <v>373</v>
      </c>
      <c r="F334" s="201" t="s">
        <v>374</v>
      </c>
      <c r="G334" s="201" t="s">
        <v>375</v>
      </c>
    </row>
    <row r="335" spans="2:7" x14ac:dyDescent="0.25">
      <c r="B335" s="256" t="s">
        <v>83</v>
      </c>
      <c r="C335" s="262"/>
      <c r="D335" s="262"/>
      <c r="E335" s="256"/>
      <c r="F335" s="256"/>
      <c r="G335" s="256"/>
    </row>
    <row r="336" spans="2:7" x14ac:dyDescent="0.25">
      <c r="B336" s="200" t="s">
        <v>84</v>
      </c>
      <c r="C336" s="249" t="s">
        <v>85</v>
      </c>
      <c r="D336" s="249"/>
      <c r="E336" s="200" t="s">
        <v>86</v>
      </c>
      <c r="F336" s="200" t="s">
        <v>87</v>
      </c>
      <c r="G336" s="200" t="s">
        <v>57</v>
      </c>
    </row>
    <row r="337" spans="2:7" x14ac:dyDescent="0.25">
      <c r="B337" s="120" t="s">
        <v>126</v>
      </c>
      <c r="C337" s="241" t="str">
        <f>IFERROR(VLOOKUP(B337,'Productos '!B:C,2,FALSE)," ")</f>
        <v>Recompra 1 Activador Celular</v>
      </c>
      <c r="D337" s="242"/>
      <c r="E337" s="120">
        <v>1</v>
      </c>
      <c r="F337" s="40">
        <f>IFERROR(VLOOKUP(B337,'Productos '!B:G,3,FALSE)," ")</f>
        <v>431.0344827586207</v>
      </c>
      <c r="G337" s="40">
        <f>IFERROR((F337*E337)," ")</f>
        <v>431.0344827586207</v>
      </c>
    </row>
    <row r="338" spans="2:7" x14ac:dyDescent="0.25">
      <c r="B338" s="120"/>
      <c r="C338" s="241" t="str">
        <f>IFERROR(VLOOKUP(B338,'Productos '!B:C,2,FALSE)," ")</f>
        <v xml:space="preserve"> </v>
      </c>
      <c r="D338" s="242"/>
      <c r="E338" s="120"/>
      <c r="F338" s="40" t="str">
        <f>IFERROR(VLOOKUP(B338,'Productos '!B:G,3,FALSE)," ")</f>
        <v xml:space="preserve"> </v>
      </c>
      <c r="G338" s="40" t="str">
        <f t="shared" ref="G338:G343" si="12">IFERROR((F338*E338)," ")</f>
        <v xml:space="preserve"> </v>
      </c>
    </row>
    <row r="339" spans="2:7" x14ac:dyDescent="0.25">
      <c r="B339" s="120"/>
      <c r="C339" s="241" t="str">
        <f>IFERROR(VLOOKUP(B339,'Productos '!B:C,2,FALSE)," ")</f>
        <v xml:space="preserve"> </v>
      </c>
      <c r="D339" s="242"/>
      <c r="E339" s="120"/>
      <c r="F339" s="40" t="str">
        <f>IFERROR(VLOOKUP(B339,'Productos '!B:G,3,FALSE)," ")</f>
        <v xml:space="preserve"> </v>
      </c>
      <c r="G339" s="40" t="str">
        <f t="shared" si="12"/>
        <v xml:space="preserve"> </v>
      </c>
    </row>
    <row r="340" spans="2:7" x14ac:dyDescent="0.25">
      <c r="B340" s="120"/>
      <c r="C340" s="241" t="str">
        <f>IFERROR(VLOOKUP(B340,'Productos '!B:C,2,FALSE)," ")</f>
        <v xml:space="preserve"> </v>
      </c>
      <c r="D340" s="242"/>
      <c r="E340" s="120"/>
      <c r="F340" s="40" t="str">
        <f>IFERROR(VLOOKUP(B340,'Productos '!B:G,3,FALSE)," ")</f>
        <v xml:space="preserve"> </v>
      </c>
      <c r="G340" s="40" t="str">
        <f t="shared" si="12"/>
        <v xml:space="preserve"> </v>
      </c>
    </row>
    <row r="341" spans="2:7" x14ac:dyDescent="0.25">
      <c r="B341" s="120"/>
      <c r="C341" s="241" t="str">
        <f>IFERROR(VLOOKUP(B341,'Productos '!B:C,2,FALSE)," ")</f>
        <v xml:space="preserve"> </v>
      </c>
      <c r="D341" s="242"/>
      <c r="E341" s="120"/>
      <c r="F341" s="40" t="str">
        <f>IFERROR(VLOOKUP(B341,'Productos '!B:G,3,FALSE)," ")</f>
        <v xml:space="preserve"> </v>
      </c>
      <c r="G341" s="40" t="str">
        <f t="shared" si="12"/>
        <v xml:space="preserve"> </v>
      </c>
    </row>
    <row r="342" spans="2:7" x14ac:dyDescent="0.25">
      <c r="B342" s="120"/>
      <c r="C342" s="241" t="str">
        <f>IFERROR(VLOOKUP(B342,'Productos '!B:C,2,FALSE)," ")</f>
        <v xml:space="preserve"> </v>
      </c>
      <c r="D342" s="242"/>
      <c r="E342" s="120"/>
      <c r="F342" s="40" t="str">
        <f>IFERROR(VLOOKUP(B342,'Productos '!B:G,3,FALSE)," ")</f>
        <v xml:space="preserve"> </v>
      </c>
      <c r="G342" s="40" t="str">
        <f t="shared" si="12"/>
        <v xml:space="preserve"> </v>
      </c>
    </row>
    <row r="343" spans="2:7" x14ac:dyDescent="0.25">
      <c r="B343" s="120"/>
      <c r="C343" s="241" t="str">
        <f>IFERROR(VLOOKUP(B343,'Productos '!B:C,2,FALSE)," ")</f>
        <v xml:space="preserve"> </v>
      </c>
      <c r="D343" s="242"/>
      <c r="E343" s="120"/>
      <c r="F343" s="40" t="str">
        <f>IFERROR(VLOOKUP(B343,'Productos '!B:G,3,FALSE)," ")</f>
        <v xml:space="preserve"> </v>
      </c>
      <c r="G343" s="40" t="str">
        <f t="shared" si="12"/>
        <v xml:space="preserve"> </v>
      </c>
    </row>
    <row r="344" spans="2:7" x14ac:dyDescent="0.25">
      <c r="B344" s="201"/>
      <c r="C344" s="253" t="s">
        <v>88</v>
      </c>
      <c r="D344" s="254"/>
      <c r="E344" s="38">
        <f>SUM(E337:E343)</f>
        <v>1</v>
      </c>
      <c r="F344" s="200" t="s">
        <v>89</v>
      </c>
      <c r="G344" s="40">
        <f>SUM(G337:G343)</f>
        <v>431.0344827586207</v>
      </c>
    </row>
    <row r="345" spans="2:7" x14ac:dyDescent="0.25">
      <c r="B345" s="201"/>
      <c r="C345" s="201"/>
      <c r="D345" s="201"/>
      <c r="E345" s="201"/>
      <c r="F345" s="200" t="s">
        <v>90</v>
      </c>
      <c r="G345" s="40">
        <f>G344*16%</f>
        <v>68.965517241379317</v>
      </c>
    </row>
    <row r="346" spans="2:7" x14ac:dyDescent="0.25">
      <c r="B346" s="200" t="s">
        <v>91</v>
      </c>
      <c r="C346" s="241" t="str">
        <f>IFERROR(VLOOKUP(D328,'DATOS REGISTRADOS'!B:R,17,FALSE)," ")</f>
        <v>Ezequiel Francisco Maldonado Martinez</v>
      </c>
      <c r="D346" s="252"/>
      <c r="E346" s="242"/>
      <c r="F346" s="200" t="s">
        <v>57</v>
      </c>
      <c r="G346" s="68">
        <f>SUM(G344:G345)</f>
        <v>500</v>
      </c>
    </row>
    <row r="347" spans="2:7" x14ac:dyDescent="0.25">
      <c r="B347" s="245" t="s">
        <v>343</v>
      </c>
      <c r="C347" s="245"/>
      <c r="D347" s="245"/>
      <c r="E347" s="245"/>
      <c r="F347" s="245"/>
      <c r="G347" s="245"/>
    </row>
    <row r="348" spans="2:7" x14ac:dyDescent="0.25">
      <c r="B348" s="246" t="s">
        <v>124</v>
      </c>
      <c r="C348" s="247"/>
      <c r="D348" s="247"/>
      <c r="E348" s="247"/>
      <c r="F348" s="247"/>
      <c r="G348" s="248"/>
    </row>
    <row r="349" spans="2:7" x14ac:dyDescent="0.25">
      <c r="B349" s="54" t="s">
        <v>123</v>
      </c>
      <c r="C349" s="199"/>
      <c r="D349" s="245" t="s">
        <v>128</v>
      </c>
      <c r="E349" s="245"/>
      <c r="F349" s="245"/>
      <c r="G349" s="245"/>
    </row>
    <row r="352" spans="2:7" x14ac:dyDescent="0.25">
      <c r="B352" s="201"/>
      <c r="C352" s="201"/>
      <c r="D352" s="201"/>
      <c r="E352" s="201"/>
      <c r="F352" s="201"/>
      <c r="G352" s="201"/>
    </row>
    <row r="353" spans="2:7" x14ac:dyDescent="0.25">
      <c r="B353" s="201"/>
      <c r="C353" s="250" t="s">
        <v>22</v>
      </c>
      <c r="D353" s="250"/>
      <c r="E353" s="42"/>
      <c r="F353" s="250"/>
      <c r="G353" s="250"/>
    </row>
    <row r="354" spans="2:7" x14ac:dyDescent="0.25">
      <c r="B354" s="201"/>
      <c r="C354" s="251"/>
      <c r="D354" s="251"/>
      <c r="E354" s="201"/>
      <c r="F354" s="43"/>
      <c r="G354" s="201"/>
    </row>
    <row r="355" spans="2:7" x14ac:dyDescent="0.25">
      <c r="B355" s="201"/>
      <c r="C355" s="27" t="s">
        <v>77</v>
      </c>
      <c r="D355" s="120">
        <v>48</v>
      </c>
      <c r="E355" s="200" t="s">
        <v>125</v>
      </c>
      <c r="F355" s="56">
        <v>64</v>
      </c>
      <c r="G355" s="201"/>
    </row>
    <row r="356" spans="2:7" x14ac:dyDescent="0.25">
      <c r="B356" s="201"/>
      <c r="C356" s="29" t="s">
        <v>76</v>
      </c>
      <c r="D356" s="203">
        <f>IFERROR(VLOOKUP(D355,'DATOS REGISTRADOS'!B:Q,16,FALSE)," ")</f>
        <v>36</v>
      </c>
      <c r="E356" s="30" t="s">
        <v>78</v>
      </c>
      <c r="F356" s="31">
        <v>43609</v>
      </c>
      <c r="G356" s="201"/>
    </row>
    <row r="357" spans="2:7" x14ac:dyDescent="0.25">
      <c r="B357" s="256" t="s">
        <v>79</v>
      </c>
      <c r="C357" s="256"/>
      <c r="D357" s="256"/>
      <c r="E357" s="256"/>
      <c r="F357" s="256"/>
      <c r="G357" s="256"/>
    </row>
    <row r="358" spans="2:7" x14ac:dyDescent="0.25">
      <c r="B358" s="200" t="s">
        <v>80</v>
      </c>
      <c r="C358" s="257" t="str">
        <f>IFERROR(VLOOKUP(D355,'DATOS REGISTRADOS'!B:C,2,FALSE)," ")</f>
        <v xml:space="preserve"> Martha Patricia Segura Aguilar</v>
      </c>
      <c r="D358" s="257"/>
      <c r="E358" s="258"/>
      <c r="F358" s="258"/>
      <c r="G358" s="258"/>
    </row>
    <row r="359" spans="2:7" x14ac:dyDescent="0.25">
      <c r="B359" s="202" t="s">
        <v>81</v>
      </c>
      <c r="C359" s="259" t="str">
        <f>IFERROR(VLOOKUP(D355,'DATOS REGISTRADOS'!B:Q,3,FALSE)," ")</f>
        <v>calle 18 #2139 entre av. la quinta topa con walmart es privada</v>
      </c>
      <c r="D359" s="260"/>
      <c r="E359" s="35" t="s">
        <v>82</v>
      </c>
      <c r="F359" s="261">
        <f>IFERROR(VLOOKUP(D355,'DATOS REGISTRADOS'!B:Q,7,FALSE)," ")</f>
        <v>8115967690</v>
      </c>
      <c r="G359" s="261"/>
    </row>
    <row r="360" spans="2:7" x14ac:dyDescent="0.25">
      <c r="B360" s="201"/>
      <c r="C360" s="243" t="str">
        <f>IFERROR(VLOOKUP(D355,'DATOS REGISTRADOS'!B:Q,4,FALSE)," ")</f>
        <v>col.la quinta guadalupe</v>
      </c>
      <c r="D360" s="244"/>
      <c r="E360" s="201">
        <f>IFERROR(VLOOKUP(D355,'DATOS REGISTRADOS'!B:Q,16,FALSE)," ")</f>
        <v>36</v>
      </c>
      <c r="F360" s="201">
        <f>IFERROR(VLOOKUP(E360,'DATOS REGISTRADOS'!B:Q,16,FALSE)," ")</f>
        <v>30</v>
      </c>
      <c r="G360" s="201">
        <f>IFERROR(VLOOKUP(F360,'DATOS REGISTRADOS'!B:Q,16,FALSE)," ")</f>
        <v>15</v>
      </c>
    </row>
    <row r="361" spans="2:7" x14ac:dyDescent="0.25">
      <c r="B361" s="201"/>
      <c r="C361" s="66" t="str">
        <f>IFERROR(VLOOKUP(D355,'DATOS REGISTRADOS'!B:Q,5,FALSE)," ")</f>
        <v>NL</v>
      </c>
      <c r="D361" s="67">
        <f>IFERROR(VLOOKUP(D355,'DATOS REGISTRADOS'!B:Q,6,FALSE)," ")</f>
        <v>67175</v>
      </c>
      <c r="E361" s="201" t="s">
        <v>373</v>
      </c>
      <c r="F361" s="201" t="s">
        <v>374</v>
      </c>
      <c r="G361" s="201" t="s">
        <v>375</v>
      </c>
    </row>
    <row r="362" spans="2:7" x14ac:dyDescent="0.25">
      <c r="B362" s="256" t="s">
        <v>83</v>
      </c>
      <c r="C362" s="262"/>
      <c r="D362" s="262"/>
      <c r="E362" s="256"/>
      <c r="F362" s="256"/>
      <c r="G362" s="256"/>
    </row>
    <row r="363" spans="2:7" x14ac:dyDescent="0.25">
      <c r="B363" s="200" t="s">
        <v>84</v>
      </c>
      <c r="C363" s="249" t="s">
        <v>85</v>
      </c>
      <c r="D363" s="249"/>
      <c r="E363" s="200" t="s">
        <v>86</v>
      </c>
      <c r="F363" s="200" t="s">
        <v>87</v>
      </c>
      <c r="G363" s="200" t="s">
        <v>57</v>
      </c>
    </row>
    <row r="364" spans="2:7" x14ac:dyDescent="0.25">
      <c r="B364" s="120" t="s">
        <v>126</v>
      </c>
      <c r="C364" s="241" t="str">
        <f>IFERROR(VLOOKUP(B364,'Productos '!B:C,2,FALSE)," ")</f>
        <v>Recompra 1 Activador Celular</v>
      </c>
      <c r="D364" s="242"/>
      <c r="E364" s="120">
        <v>1</v>
      </c>
      <c r="F364" s="40">
        <f>IFERROR(VLOOKUP(B364,'Productos '!B:G,3,FALSE)," ")</f>
        <v>431.0344827586207</v>
      </c>
      <c r="G364" s="40">
        <f>IFERROR((F364*E364)," ")</f>
        <v>431.0344827586207</v>
      </c>
    </row>
    <row r="365" spans="2:7" x14ac:dyDescent="0.25">
      <c r="B365" s="120" t="s">
        <v>323</v>
      </c>
      <c r="C365" s="241" t="str">
        <f>IFERROR(VLOOKUP(B365,'Productos '!B:C,2,FALSE)," ")</f>
        <v>Promoción ActiCell</v>
      </c>
      <c r="D365" s="242"/>
      <c r="E365" s="120">
        <v>3</v>
      </c>
      <c r="F365" s="40">
        <f>IFERROR(VLOOKUP(B365,'Productos '!B:G,3,FALSE)," ")</f>
        <v>301.72413793103448</v>
      </c>
      <c r="G365" s="40">
        <f t="shared" ref="G365:G370" si="13">IFERROR((F365*E365)," ")</f>
        <v>905.17241379310349</v>
      </c>
    </row>
    <row r="366" spans="2:7" x14ac:dyDescent="0.25">
      <c r="B366" s="120"/>
      <c r="C366" s="241" t="str">
        <f>IFERROR(VLOOKUP(B366,'Productos '!B:C,2,FALSE)," ")</f>
        <v xml:space="preserve"> </v>
      </c>
      <c r="D366" s="242"/>
      <c r="E366" s="120"/>
      <c r="F366" s="40" t="str">
        <f>IFERROR(VLOOKUP(B366,'Productos '!B:G,3,FALSE)," ")</f>
        <v xml:space="preserve"> </v>
      </c>
      <c r="G366" s="40" t="str">
        <f t="shared" si="13"/>
        <v xml:space="preserve"> </v>
      </c>
    </row>
    <row r="367" spans="2:7" x14ac:dyDescent="0.25">
      <c r="B367" s="120"/>
      <c r="C367" s="241" t="str">
        <f>IFERROR(VLOOKUP(B367,'Productos '!B:C,2,FALSE)," ")</f>
        <v xml:space="preserve"> </v>
      </c>
      <c r="D367" s="242"/>
      <c r="E367" s="120"/>
      <c r="F367" s="40" t="str">
        <f>IFERROR(VLOOKUP(B367,'Productos '!B:G,3,FALSE)," ")</f>
        <v xml:space="preserve"> </v>
      </c>
      <c r="G367" s="40" t="str">
        <f t="shared" si="13"/>
        <v xml:space="preserve"> </v>
      </c>
    </row>
    <row r="368" spans="2:7" x14ac:dyDescent="0.25">
      <c r="B368" s="120"/>
      <c r="C368" s="241" t="str">
        <f>IFERROR(VLOOKUP(B368,'Productos '!B:C,2,FALSE)," ")</f>
        <v xml:space="preserve"> </v>
      </c>
      <c r="D368" s="242"/>
      <c r="E368" s="120"/>
      <c r="F368" s="40" t="str">
        <f>IFERROR(VLOOKUP(B368,'Productos '!B:G,3,FALSE)," ")</f>
        <v xml:space="preserve"> </v>
      </c>
      <c r="G368" s="40" t="str">
        <f t="shared" si="13"/>
        <v xml:space="preserve"> </v>
      </c>
    </row>
    <row r="369" spans="2:7" x14ac:dyDescent="0.25">
      <c r="B369" s="120"/>
      <c r="C369" s="241" t="str">
        <f>IFERROR(VLOOKUP(B369,'Productos '!B:C,2,FALSE)," ")</f>
        <v xml:space="preserve"> </v>
      </c>
      <c r="D369" s="242"/>
      <c r="E369" s="120"/>
      <c r="F369" s="40" t="str">
        <f>IFERROR(VLOOKUP(B369,'Productos '!B:G,3,FALSE)," ")</f>
        <v xml:space="preserve"> </v>
      </c>
      <c r="G369" s="40" t="str">
        <f t="shared" si="13"/>
        <v xml:space="preserve"> </v>
      </c>
    </row>
    <row r="370" spans="2:7" x14ac:dyDescent="0.25">
      <c r="B370" s="120"/>
      <c r="C370" s="241" t="str">
        <f>IFERROR(VLOOKUP(B370,'Productos '!B:C,2,FALSE)," ")</f>
        <v xml:space="preserve"> </v>
      </c>
      <c r="D370" s="242"/>
      <c r="E370" s="120"/>
      <c r="F370" s="40" t="str">
        <f>IFERROR(VLOOKUP(B370,'Productos '!B:G,3,FALSE)," ")</f>
        <v xml:space="preserve"> </v>
      </c>
      <c r="G370" s="40" t="str">
        <f t="shared" si="13"/>
        <v xml:space="preserve"> </v>
      </c>
    </row>
    <row r="371" spans="2:7" x14ac:dyDescent="0.25">
      <c r="B371" s="201"/>
      <c r="C371" s="253" t="s">
        <v>88</v>
      </c>
      <c r="D371" s="254"/>
      <c r="E371" s="38">
        <f>SUM(E364:E370)</f>
        <v>4</v>
      </c>
      <c r="F371" s="200" t="s">
        <v>89</v>
      </c>
      <c r="G371" s="40">
        <f>SUM(G364:G370)</f>
        <v>1336.2068965517242</v>
      </c>
    </row>
    <row r="372" spans="2:7" x14ac:dyDescent="0.25">
      <c r="B372" s="201"/>
      <c r="C372" s="201"/>
      <c r="D372" s="201"/>
      <c r="E372" s="201"/>
      <c r="F372" s="200" t="s">
        <v>90</v>
      </c>
      <c r="G372" s="40">
        <f>G371*16%</f>
        <v>213.79310344827587</v>
      </c>
    </row>
    <row r="373" spans="2:7" x14ac:dyDescent="0.25">
      <c r="B373" s="200" t="s">
        <v>91</v>
      </c>
      <c r="C373" s="241" t="str">
        <f>IFERROR(VLOOKUP(D355,'DATOS REGISTRADOS'!B:R,17,FALSE)," ")</f>
        <v>Maria del Carmen Segura Aguilar</v>
      </c>
      <c r="D373" s="252"/>
      <c r="E373" s="242"/>
      <c r="F373" s="200" t="s">
        <v>57</v>
      </c>
      <c r="G373" s="68">
        <f>SUM(G371:G372)</f>
        <v>1550</v>
      </c>
    </row>
    <row r="374" spans="2:7" x14ac:dyDescent="0.25">
      <c r="B374" s="245" t="s">
        <v>343</v>
      </c>
      <c r="C374" s="245"/>
      <c r="D374" s="245"/>
      <c r="E374" s="245"/>
      <c r="F374" s="245"/>
      <c r="G374" s="245"/>
    </row>
    <row r="375" spans="2:7" x14ac:dyDescent="0.25">
      <c r="B375" s="246" t="s">
        <v>124</v>
      </c>
      <c r="C375" s="247"/>
      <c r="D375" s="247"/>
      <c r="E375" s="247"/>
      <c r="F375" s="247"/>
      <c r="G375" s="248"/>
    </row>
    <row r="376" spans="2:7" x14ac:dyDescent="0.25">
      <c r="B376" s="54" t="s">
        <v>123</v>
      </c>
      <c r="C376" s="199"/>
      <c r="D376" s="245" t="s">
        <v>128</v>
      </c>
      <c r="E376" s="245"/>
      <c r="F376" s="245"/>
      <c r="G376" s="245"/>
    </row>
    <row r="379" spans="2:7" x14ac:dyDescent="0.25">
      <c r="B379" s="194"/>
      <c r="C379" s="194"/>
      <c r="D379" s="194"/>
      <c r="E379" s="194"/>
      <c r="F379" s="194"/>
      <c r="G379" s="194"/>
    </row>
    <row r="380" spans="2:7" x14ac:dyDescent="0.25">
      <c r="B380" s="194"/>
      <c r="C380" s="250" t="s">
        <v>22</v>
      </c>
      <c r="D380" s="250"/>
      <c r="E380" s="42"/>
      <c r="F380" s="250"/>
      <c r="G380" s="250"/>
    </row>
    <row r="381" spans="2:7" x14ac:dyDescent="0.25">
      <c r="B381" s="194"/>
      <c r="C381" s="251"/>
      <c r="D381" s="251"/>
      <c r="E381" s="194"/>
      <c r="F381" s="43"/>
      <c r="G381" s="194"/>
    </row>
    <row r="382" spans="2:7" x14ac:dyDescent="0.25">
      <c r="B382" s="194"/>
      <c r="C382" s="27" t="s">
        <v>77</v>
      </c>
      <c r="D382" s="120">
        <v>44</v>
      </c>
      <c r="E382" s="193" t="s">
        <v>125</v>
      </c>
      <c r="F382" s="56">
        <v>63</v>
      </c>
      <c r="G382" s="194"/>
    </row>
    <row r="383" spans="2:7" x14ac:dyDescent="0.25">
      <c r="B383" s="194"/>
      <c r="C383" s="29" t="s">
        <v>76</v>
      </c>
      <c r="D383" s="196">
        <f>IFERROR(VLOOKUP(D382,'DATOS REGISTRADOS'!B:Q,16,FALSE)," ")</f>
        <v>30</v>
      </c>
      <c r="E383" s="30" t="s">
        <v>78</v>
      </c>
      <c r="F383" s="31">
        <v>43609</v>
      </c>
      <c r="G383" s="194"/>
    </row>
    <row r="384" spans="2:7" x14ac:dyDescent="0.25">
      <c r="B384" s="256" t="s">
        <v>79</v>
      </c>
      <c r="C384" s="256"/>
      <c r="D384" s="256"/>
      <c r="E384" s="256"/>
      <c r="F384" s="256"/>
      <c r="G384" s="256"/>
    </row>
    <row r="385" spans="2:7" x14ac:dyDescent="0.25">
      <c r="B385" s="193" t="s">
        <v>80</v>
      </c>
      <c r="C385" s="257" t="str">
        <f>IFERROR(VLOOKUP(D382,'DATOS REGISTRADOS'!B:C,2,FALSE)," ")</f>
        <v>Anibal Enriquez Cruz</v>
      </c>
      <c r="D385" s="257"/>
      <c r="E385" s="258"/>
      <c r="F385" s="258"/>
      <c r="G385" s="258"/>
    </row>
    <row r="386" spans="2:7" x14ac:dyDescent="0.25">
      <c r="B386" s="195" t="s">
        <v>81</v>
      </c>
      <c r="C386" s="259" t="str">
        <f>IFERROR(VLOOKUP(D382,'DATOS REGISTRADOS'!B:Q,3,FALSE)," ")</f>
        <v>Martha #330 Frac Los candiles Entre Dalia e Ignacio Villarreal</v>
      </c>
      <c r="D386" s="260"/>
      <c r="E386" s="35" t="s">
        <v>82</v>
      </c>
      <c r="F386" s="261" t="str">
        <f>IFERROR(VLOOKUP(D382,'DATOS REGISTRADOS'!B:Q,7,FALSE)," ")</f>
        <v>8125673724 y wts 8121509075</v>
      </c>
      <c r="G386" s="261"/>
    </row>
    <row r="387" spans="2:7" x14ac:dyDescent="0.25">
      <c r="B387" s="194"/>
      <c r="C387" s="243" t="str">
        <f>IFERROR(VLOOKUP(D382,'DATOS REGISTRADOS'!B:Q,4,FALSE)," ")</f>
        <v>Apodaca, NL</v>
      </c>
      <c r="D387" s="244"/>
      <c r="E387" s="194">
        <f>IFERROR(VLOOKUP(D382,'DATOS REGISTRADOS'!B:Q,16,FALSE)," ")</f>
        <v>30</v>
      </c>
      <c r="F387" s="194">
        <f>IFERROR(VLOOKUP(E387,'DATOS REGISTRADOS'!B:Q,16,FALSE)," ")</f>
        <v>15</v>
      </c>
      <c r="G387" s="194">
        <f>IFERROR(VLOOKUP(F387,'DATOS REGISTRADOS'!B:Q,16,FALSE)," ")</f>
        <v>11</v>
      </c>
    </row>
    <row r="388" spans="2:7" x14ac:dyDescent="0.25">
      <c r="B388" s="194"/>
      <c r="C388" s="66" t="str">
        <f>IFERROR(VLOOKUP(D382,'DATOS REGISTRADOS'!B:Q,5,FALSE)," ")</f>
        <v>Nuevo Leon</v>
      </c>
      <c r="D388" s="67">
        <f>IFERROR(VLOOKUP(D382,'DATOS REGISTRADOS'!B:Q,6,FALSE)," ")</f>
        <v>66647</v>
      </c>
      <c r="E388" s="194" t="s">
        <v>373</v>
      </c>
      <c r="F388" s="194" t="s">
        <v>374</v>
      </c>
      <c r="G388" s="194" t="s">
        <v>375</v>
      </c>
    </row>
    <row r="389" spans="2:7" x14ac:dyDescent="0.25">
      <c r="B389" s="256" t="s">
        <v>83</v>
      </c>
      <c r="C389" s="262"/>
      <c r="D389" s="262"/>
      <c r="E389" s="256"/>
      <c r="F389" s="256"/>
      <c r="G389" s="256"/>
    </row>
    <row r="390" spans="2:7" x14ac:dyDescent="0.25">
      <c r="B390" s="193" t="s">
        <v>84</v>
      </c>
      <c r="C390" s="249" t="s">
        <v>85</v>
      </c>
      <c r="D390" s="249"/>
      <c r="E390" s="193" t="s">
        <v>86</v>
      </c>
      <c r="F390" s="193" t="s">
        <v>87</v>
      </c>
      <c r="G390" s="193" t="s">
        <v>57</v>
      </c>
    </row>
    <row r="391" spans="2:7" x14ac:dyDescent="0.25">
      <c r="B391" s="120" t="s">
        <v>126</v>
      </c>
      <c r="C391" s="241" t="str">
        <f>IFERROR(VLOOKUP(B391,'Productos '!B:C,2,FALSE)," ")</f>
        <v>Recompra 1 Activador Celular</v>
      </c>
      <c r="D391" s="242"/>
      <c r="E391" s="120">
        <v>1</v>
      </c>
      <c r="F391" s="40">
        <f>IFERROR(VLOOKUP(B391,'Productos '!B:G,3,FALSE)," ")</f>
        <v>431.0344827586207</v>
      </c>
      <c r="G391" s="40">
        <f>IFERROR((F391*E391)," ")</f>
        <v>431.0344827586207</v>
      </c>
    </row>
    <row r="392" spans="2:7" x14ac:dyDescent="0.25">
      <c r="B392" s="120" t="s">
        <v>323</v>
      </c>
      <c r="C392" s="241" t="str">
        <f>IFERROR(VLOOKUP(B392,'Productos '!B:C,2,FALSE)," ")</f>
        <v>Promoción ActiCell</v>
      </c>
      <c r="D392" s="242"/>
      <c r="E392" s="120">
        <v>3</v>
      </c>
      <c r="F392" s="40">
        <f>IFERROR(VLOOKUP(B392,'Productos '!B:G,3,FALSE)," ")</f>
        <v>301.72413793103448</v>
      </c>
      <c r="G392" s="40">
        <f t="shared" ref="G392:G397" si="14">IFERROR((F392*E392)," ")</f>
        <v>905.17241379310349</v>
      </c>
    </row>
    <row r="393" spans="2:7" x14ac:dyDescent="0.25">
      <c r="B393" s="120"/>
      <c r="C393" s="241" t="str">
        <f>IFERROR(VLOOKUP(B393,'Productos '!B:C,2,FALSE)," ")</f>
        <v xml:space="preserve"> </v>
      </c>
      <c r="D393" s="242"/>
      <c r="E393" s="120"/>
      <c r="F393" s="40" t="str">
        <f>IFERROR(VLOOKUP(B393,'Productos '!B:G,3,FALSE)," ")</f>
        <v xml:space="preserve"> </v>
      </c>
      <c r="G393" s="40" t="str">
        <f t="shared" si="14"/>
        <v xml:space="preserve"> </v>
      </c>
    </row>
    <row r="394" spans="2:7" x14ac:dyDescent="0.25">
      <c r="B394" s="120"/>
      <c r="C394" s="241" t="str">
        <f>IFERROR(VLOOKUP(B394,'Productos '!B:C,2,FALSE)," ")</f>
        <v xml:space="preserve"> </v>
      </c>
      <c r="D394" s="242"/>
      <c r="E394" s="120"/>
      <c r="F394" s="40" t="str">
        <f>IFERROR(VLOOKUP(B394,'Productos '!B:G,3,FALSE)," ")</f>
        <v xml:space="preserve"> </v>
      </c>
      <c r="G394" s="40" t="str">
        <f t="shared" si="14"/>
        <v xml:space="preserve"> </v>
      </c>
    </row>
    <row r="395" spans="2:7" x14ac:dyDescent="0.25">
      <c r="B395" s="120"/>
      <c r="C395" s="241" t="str">
        <f>IFERROR(VLOOKUP(B395,'Productos '!B:C,2,FALSE)," ")</f>
        <v xml:space="preserve"> </v>
      </c>
      <c r="D395" s="242"/>
      <c r="E395" s="120"/>
      <c r="F395" s="40" t="str">
        <f>IFERROR(VLOOKUP(B395,'Productos '!B:G,3,FALSE)," ")</f>
        <v xml:space="preserve"> </v>
      </c>
      <c r="G395" s="40" t="str">
        <f t="shared" si="14"/>
        <v xml:space="preserve"> </v>
      </c>
    </row>
    <row r="396" spans="2:7" x14ac:dyDescent="0.25">
      <c r="B396" s="120"/>
      <c r="C396" s="241" t="str">
        <f>IFERROR(VLOOKUP(B396,'Productos '!B:C,2,FALSE)," ")</f>
        <v xml:space="preserve"> </v>
      </c>
      <c r="D396" s="242"/>
      <c r="E396" s="120"/>
      <c r="F396" s="40" t="str">
        <f>IFERROR(VLOOKUP(B396,'Productos '!B:G,3,FALSE)," ")</f>
        <v xml:space="preserve"> </v>
      </c>
      <c r="G396" s="40" t="str">
        <f t="shared" si="14"/>
        <v xml:space="preserve"> </v>
      </c>
    </row>
    <row r="397" spans="2:7" x14ac:dyDescent="0.25">
      <c r="B397" s="120"/>
      <c r="C397" s="241" t="str">
        <f>IFERROR(VLOOKUP(B397,'Productos '!B:C,2,FALSE)," ")</f>
        <v xml:space="preserve"> </v>
      </c>
      <c r="D397" s="242"/>
      <c r="E397" s="120"/>
      <c r="F397" s="40" t="str">
        <f>IFERROR(VLOOKUP(B397,'Productos '!B:G,3,FALSE)," ")</f>
        <v xml:space="preserve"> </v>
      </c>
      <c r="G397" s="40" t="str">
        <f t="shared" si="14"/>
        <v xml:space="preserve"> </v>
      </c>
    </row>
    <row r="398" spans="2:7" x14ac:dyDescent="0.25">
      <c r="B398" s="194"/>
      <c r="C398" s="253" t="s">
        <v>88</v>
      </c>
      <c r="D398" s="254"/>
      <c r="E398" s="38">
        <f>SUM(E391:E397)</f>
        <v>4</v>
      </c>
      <c r="F398" s="193" t="s">
        <v>89</v>
      </c>
      <c r="G398" s="40">
        <f>SUM(G391:G397)</f>
        <v>1336.2068965517242</v>
      </c>
    </row>
    <row r="399" spans="2:7" x14ac:dyDescent="0.25">
      <c r="B399" s="194"/>
      <c r="C399" s="194"/>
      <c r="D399" s="194"/>
      <c r="E399" s="194"/>
      <c r="F399" s="193" t="s">
        <v>90</v>
      </c>
      <c r="G399" s="40">
        <f>G398*16%</f>
        <v>213.79310344827587</v>
      </c>
    </row>
    <row r="400" spans="2:7" x14ac:dyDescent="0.25">
      <c r="B400" s="193" t="s">
        <v>91</v>
      </c>
      <c r="C400" s="241" t="str">
        <f>IFERROR(VLOOKUP(D382,'DATOS REGISTRADOS'!B:R,17,FALSE)," ")</f>
        <v>Marina Concepcion Salazar Soto</v>
      </c>
      <c r="D400" s="252"/>
      <c r="E400" s="242"/>
      <c r="F400" s="193" t="s">
        <v>57</v>
      </c>
      <c r="G400" s="68">
        <f>SUM(G398:G399)</f>
        <v>1550</v>
      </c>
    </row>
    <row r="401" spans="2:7" x14ac:dyDescent="0.25">
      <c r="B401" s="245" t="s">
        <v>343</v>
      </c>
      <c r="C401" s="245"/>
      <c r="D401" s="245"/>
      <c r="E401" s="245"/>
      <c r="F401" s="245"/>
      <c r="G401" s="245"/>
    </row>
    <row r="402" spans="2:7" x14ac:dyDescent="0.25">
      <c r="B402" s="246" t="s">
        <v>124</v>
      </c>
      <c r="C402" s="247"/>
      <c r="D402" s="247"/>
      <c r="E402" s="247"/>
      <c r="F402" s="247"/>
      <c r="G402" s="248"/>
    </row>
    <row r="403" spans="2:7" x14ac:dyDescent="0.25">
      <c r="B403" s="54" t="s">
        <v>123</v>
      </c>
      <c r="C403" s="192"/>
      <c r="D403" s="245" t="s">
        <v>128</v>
      </c>
      <c r="E403" s="245"/>
      <c r="F403" s="245"/>
      <c r="G403" s="245"/>
    </row>
    <row r="406" spans="2:7" x14ac:dyDescent="0.25">
      <c r="B406" s="194"/>
      <c r="C406" s="194"/>
      <c r="D406" s="194"/>
      <c r="E406" s="194"/>
      <c r="F406" s="194"/>
      <c r="G406" s="194"/>
    </row>
    <row r="407" spans="2:7" x14ac:dyDescent="0.25">
      <c r="B407" s="194"/>
      <c r="C407" s="250" t="s">
        <v>22</v>
      </c>
      <c r="D407" s="250"/>
      <c r="E407" s="42"/>
      <c r="F407" s="250"/>
      <c r="G407" s="250"/>
    </row>
    <row r="408" spans="2:7" x14ac:dyDescent="0.25">
      <c r="B408" s="194"/>
      <c r="C408" s="251"/>
      <c r="D408" s="251"/>
      <c r="E408" s="194"/>
      <c r="F408" s="43"/>
      <c r="G408" s="194"/>
    </row>
    <row r="409" spans="2:7" x14ac:dyDescent="0.25">
      <c r="B409" s="194"/>
      <c r="C409" s="27" t="s">
        <v>77</v>
      </c>
      <c r="D409" s="120">
        <v>56</v>
      </c>
      <c r="E409" s="193" t="s">
        <v>125</v>
      </c>
      <c r="F409" s="56">
        <v>62</v>
      </c>
      <c r="G409" s="194"/>
    </row>
    <row r="410" spans="2:7" x14ac:dyDescent="0.25">
      <c r="B410" s="194"/>
      <c r="C410" s="29" t="s">
        <v>76</v>
      </c>
      <c r="D410" s="196">
        <f>IFERROR(VLOOKUP(D409,'DATOS REGISTRADOS'!B:Q,16,FALSE)," ")</f>
        <v>36</v>
      </c>
      <c r="E410" s="30" t="s">
        <v>78</v>
      </c>
      <c r="F410" s="31">
        <v>43611</v>
      </c>
      <c r="G410" s="194"/>
    </row>
    <row r="411" spans="2:7" x14ac:dyDescent="0.25">
      <c r="B411" s="256" t="s">
        <v>79</v>
      </c>
      <c r="C411" s="256"/>
      <c r="D411" s="256"/>
      <c r="E411" s="256"/>
      <c r="F411" s="256"/>
      <c r="G411" s="256"/>
    </row>
    <row r="412" spans="2:7" x14ac:dyDescent="0.25">
      <c r="B412" s="193" t="s">
        <v>80</v>
      </c>
      <c r="C412" s="257" t="str">
        <f>IFERROR(VLOOKUP(D409,'DATOS REGISTRADOS'!B:C,2,FALSE)," ")</f>
        <v>Maria del Socorro Mendoza Venzor</v>
      </c>
      <c r="D412" s="257"/>
      <c r="E412" s="258"/>
      <c r="F412" s="258"/>
      <c r="G412" s="258"/>
    </row>
    <row r="413" spans="2:7" x14ac:dyDescent="0.25">
      <c r="B413" s="195" t="s">
        <v>81</v>
      </c>
      <c r="C413" s="259" t="str">
        <f>IFERROR(VLOOKUP(D409,'DATOS REGISTRADOS'!B:Q,3,FALSE)," ")</f>
        <v>gardenia # 407 entre lirios y veronica candiles</v>
      </c>
      <c r="D413" s="260"/>
      <c r="E413" s="35" t="s">
        <v>82</v>
      </c>
      <c r="F413" s="261">
        <f>IFERROR(VLOOKUP(D409,'DATOS REGISTRADOS'!B:Q,7,FALSE)," ")</f>
        <v>8112518034</v>
      </c>
      <c r="G413" s="261"/>
    </row>
    <row r="414" spans="2:7" x14ac:dyDescent="0.25">
      <c r="B414" s="194"/>
      <c r="C414" s="243">
        <f>IFERROR(VLOOKUP(D409,'DATOS REGISTRADOS'!B:Q,4,FALSE)," ")</f>
        <v>0</v>
      </c>
      <c r="D414" s="244"/>
      <c r="E414" s="194">
        <f>IFERROR(VLOOKUP(D409,'DATOS REGISTRADOS'!B:Q,16,FALSE)," ")</f>
        <v>36</v>
      </c>
      <c r="F414" s="194">
        <f>IFERROR(VLOOKUP(E414,'DATOS REGISTRADOS'!B:Q,16,FALSE)," ")</f>
        <v>30</v>
      </c>
      <c r="G414" s="194">
        <f>IFERROR(VLOOKUP(F414,'DATOS REGISTRADOS'!B:Q,16,FALSE)," ")</f>
        <v>15</v>
      </c>
    </row>
    <row r="415" spans="2:7" x14ac:dyDescent="0.25">
      <c r="B415" s="194"/>
      <c r="C415" s="66" t="str">
        <f>IFERROR(VLOOKUP(D409,'DATOS REGISTRADOS'!B:Q,5,FALSE)," ")</f>
        <v>Apodaca N.L</v>
      </c>
      <c r="D415" s="67">
        <f>IFERROR(VLOOKUP(D409,'DATOS REGISTRADOS'!B:Q,6,FALSE)," ")</f>
        <v>66647</v>
      </c>
      <c r="E415" s="194" t="s">
        <v>373</v>
      </c>
      <c r="F415" s="194" t="s">
        <v>374</v>
      </c>
      <c r="G415" s="194" t="s">
        <v>375</v>
      </c>
    </row>
    <row r="416" spans="2:7" x14ac:dyDescent="0.25">
      <c r="B416" s="256" t="s">
        <v>83</v>
      </c>
      <c r="C416" s="262"/>
      <c r="D416" s="262"/>
      <c r="E416" s="256"/>
      <c r="F416" s="256"/>
      <c r="G416" s="256"/>
    </row>
    <row r="417" spans="2:7" x14ac:dyDescent="0.25">
      <c r="B417" s="193" t="s">
        <v>84</v>
      </c>
      <c r="C417" s="249" t="s">
        <v>85</v>
      </c>
      <c r="D417" s="249"/>
      <c r="E417" s="193" t="s">
        <v>86</v>
      </c>
      <c r="F417" s="193" t="s">
        <v>87</v>
      </c>
      <c r="G417" s="193" t="s">
        <v>57</v>
      </c>
    </row>
    <row r="418" spans="2:7" x14ac:dyDescent="0.25">
      <c r="B418" s="120" t="s">
        <v>126</v>
      </c>
      <c r="C418" s="241" t="str">
        <f>IFERROR(VLOOKUP(B418,'Productos '!B:C,2,FALSE)," ")</f>
        <v>Recompra 1 Activador Celular</v>
      </c>
      <c r="D418" s="242"/>
      <c r="E418" s="120">
        <v>1</v>
      </c>
      <c r="F418" s="40">
        <f>IFERROR(VLOOKUP(B418,'Productos '!B:G,3,FALSE)," ")</f>
        <v>431.0344827586207</v>
      </c>
      <c r="G418" s="40">
        <f>IFERROR((F418*E418)," ")</f>
        <v>431.0344827586207</v>
      </c>
    </row>
    <row r="419" spans="2:7" x14ac:dyDescent="0.25">
      <c r="B419" s="120"/>
      <c r="C419" s="241" t="str">
        <f>IFERROR(VLOOKUP(B419,'Productos '!B:C,2,FALSE)," ")</f>
        <v xml:space="preserve"> </v>
      </c>
      <c r="D419" s="242"/>
      <c r="E419" s="120"/>
      <c r="F419" s="40" t="str">
        <f>IFERROR(VLOOKUP(B419,'Productos '!B:G,3,FALSE)," ")</f>
        <v xml:space="preserve"> </v>
      </c>
      <c r="G419" s="40" t="str">
        <f t="shared" ref="G419:G424" si="15">IFERROR((F419*E419)," ")</f>
        <v xml:space="preserve"> </v>
      </c>
    </row>
    <row r="420" spans="2:7" x14ac:dyDescent="0.25">
      <c r="B420" s="120"/>
      <c r="C420" s="241" t="str">
        <f>IFERROR(VLOOKUP(B420,'Productos '!B:C,2,FALSE)," ")</f>
        <v xml:space="preserve"> </v>
      </c>
      <c r="D420" s="242"/>
      <c r="E420" s="120"/>
      <c r="F420" s="40" t="str">
        <f>IFERROR(VLOOKUP(B420,'Productos '!B:G,3,FALSE)," ")</f>
        <v xml:space="preserve"> </v>
      </c>
      <c r="G420" s="40" t="str">
        <f t="shared" si="15"/>
        <v xml:space="preserve"> </v>
      </c>
    </row>
    <row r="421" spans="2:7" x14ac:dyDescent="0.25">
      <c r="B421" s="120"/>
      <c r="C421" s="241" t="str">
        <f>IFERROR(VLOOKUP(B421,'Productos '!B:C,2,FALSE)," ")</f>
        <v xml:space="preserve"> </v>
      </c>
      <c r="D421" s="242"/>
      <c r="E421" s="120"/>
      <c r="F421" s="40" t="str">
        <f>IFERROR(VLOOKUP(B421,'Productos '!B:G,3,FALSE)," ")</f>
        <v xml:space="preserve"> </v>
      </c>
      <c r="G421" s="40" t="str">
        <f t="shared" si="15"/>
        <v xml:space="preserve"> </v>
      </c>
    </row>
    <row r="422" spans="2:7" x14ac:dyDescent="0.25">
      <c r="B422" s="120"/>
      <c r="C422" s="241" t="str">
        <f>IFERROR(VLOOKUP(B422,'Productos '!B:C,2,FALSE)," ")</f>
        <v xml:space="preserve"> </v>
      </c>
      <c r="D422" s="242"/>
      <c r="E422" s="120"/>
      <c r="F422" s="40" t="str">
        <f>IFERROR(VLOOKUP(B422,'Productos '!B:G,3,FALSE)," ")</f>
        <v xml:space="preserve"> </v>
      </c>
      <c r="G422" s="40" t="str">
        <f t="shared" si="15"/>
        <v xml:space="preserve"> </v>
      </c>
    </row>
    <row r="423" spans="2:7" x14ac:dyDescent="0.25">
      <c r="B423" s="120"/>
      <c r="C423" s="241" t="str">
        <f>IFERROR(VLOOKUP(B423,'Productos '!B:C,2,FALSE)," ")</f>
        <v xml:space="preserve"> </v>
      </c>
      <c r="D423" s="242"/>
      <c r="E423" s="120"/>
      <c r="F423" s="40" t="str">
        <f>IFERROR(VLOOKUP(B423,'Productos '!B:G,3,FALSE)," ")</f>
        <v xml:space="preserve"> </v>
      </c>
      <c r="G423" s="40" t="str">
        <f t="shared" si="15"/>
        <v xml:space="preserve"> </v>
      </c>
    </row>
    <row r="424" spans="2:7" x14ac:dyDescent="0.25">
      <c r="B424" s="120"/>
      <c r="C424" s="241" t="str">
        <f>IFERROR(VLOOKUP(B424,'Productos '!B:C,2,FALSE)," ")</f>
        <v xml:space="preserve"> </v>
      </c>
      <c r="D424" s="242"/>
      <c r="E424" s="120"/>
      <c r="F424" s="40" t="str">
        <f>IFERROR(VLOOKUP(B424,'Productos '!B:G,3,FALSE)," ")</f>
        <v xml:space="preserve"> </v>
      </c>
      <c r="G424" s="40" t="str">
        <f t="shared" si="15"/>
        <v xml:space="preserve"> </v>
      </c>
    </row>
    <row r="425" spans="2:7" x14ac:dyDescent="0.25">
      <c r="B425" s="194"/>
      <c r="C425" s="253" t="s">
        <v>88</v>
      </c>
      <c r="D425" s="254"/>
      <c r="E425" s="38">
        <f>SUM(E418:E424)</f>
        <v>1</v>
      </c>
      <c r="F425" s="193" t="s">
        <v>89</v>
      </c>
      <c r="G425" s="40">
        <f>SUM(G418:G424)</f>
        <v>431.0344827586207</v>
      </c>
    </row>
    <row r="426" spans="2:7" x14ac:dyDescent="0.25">
      <c r="B426" s="194"/>
      <c r="C426" s="194"/>
      <c r="D426" s="194"/>
      <c r="E426" s="194"/>
      <c r="F426" s="193" t="s">
        <v>90</v>
      </c>
      <c r="G426" s="40">
        <f>G425*16%</f>
        <v>68.965517241379317</v>
      </c>
    </row>
    <row r="427" spans="2:7" x14ac:dyDescent="0.25">
      <c r="B427" s="193" t="s">
        <v>91</v>
      </c>
      <c r="C427" s="241" t="str">
        <f>IFERROR(VLOOKUP(D409,'DATOS REGISTRADOS'!B:R,17,FALSE)," ")</f>
        <v>Maria del Carmen Segura Aguilar</v>
      </c>
      <c r="D427" s="252"/>
      <c r="E427" s="242"/>
      <c r="F427" s="193" t="s">
        <v>57</v>
      </c>
      <c r="G427" s="68">
        <f>SUM(G425:G426)</f>
        <v>500</v>
      </c>
    </row>
    <row r="428" spans="2:7" x14ac:dyDescent="0.25">
      <c r="B428" s="245" t="s">
        <v>343</v>
      </c>
      <c r="C428" s="245"/>
      <c r="D428" s="245"/>
      <c r="E428" s="245"/>
      <c r="F428" s="245"/>
      <c r="G428" s="245"/>
    </row>
    <row r="429" spans="2:7" x14ac:dyDescent="0.25">
      <c r="B429" s="246" t="s">
        <v>124</v>
      </c>
      <c r="C429" s="247"/>
      <c r="D429" s="247"/>
      <c r="E429" s="247"/>
      <c r="F429" s="247"/>
      <c r="G429" s="248"/>
    </row>
    <row r="430" spans="2:7" x14ac:dyDescent="0.25">
      <c r="B430" s="54" t="s">
        <v>123</v>
      </c>
      <c r="C430" s="192"/>
      <c r="D430" s="245" t="s">
        <v>128</v>
      </c>
      <c r="E430" s="245"/>
      <c r="F430" s="245"/>
      <c r="G430" s="245"/>
    </row>
    <row r="433" spans="2:7" x14ac:dyDescent="0.25">
      <c r="B433" s="188"/>
      <c r="C433" s="188"/>
      <c r="D433" s="188"/>
      <c r="E433" s="188"/>
      <c r="F433" s="188"/>
      <c r="G433" s="188"/>
    </row>
    <row r="434" spans="2:7" x14ac:dyDescent="0.25">
      <c r="B434" s="188"/>
      <c r="C434" s="250" t="s">
        <v>22</v>
      </c>
      <c r="D434" s="250"/>
      <c r="E434" s="42"/>
      <c r="F434" s="250"/>
      <c r="G434" s="250"/>
    </row>
    <row r="435" spans="2:7" x14ac:dyDescent="0.25">
      <c r="B435" s="188"/>
      <c r="C435" s="251"/>
      <c r="D435" s="251"/>
      <c r="E435" s="188"/>
      <c r="F435" s="43"/>
      <c r="G435" s="188"/>
    </row>
    <row r="436" spans="2:7" x14ac:dyDescent="0.25">
      <c r="B436" s="188"/>
      <c r="C436" s="27" t="s">
        <v>77</v>
      </c>
      <c r="D436" s="120">
        <v>36</v>
      </c>
      <c r="E436" s="190" t="s">
        <v>125</v>
      </c>
      <c r="F436" s="56">
        <v>61</v>
      </c>
      <c r="G436" s="188"/>
    </row>
    <row r="437" spans="2:7" x14ac:dyDescent="0.25">
      <c r="B437" s="188"/>
      <c r="C437" s="29" t="s">
        <v>76</v>
      </c>
      <c r="D437" s="187">
        <f>IFERROR(VLOOKUP(D436,'DATOS REGISTRADOS'!B:Q,16,FALSE)," ")</f>
        <v>30</v>
      </c>
      <c r="E437" s="30" t="s">
        <v>78</v>
      </c>
      <c r="F437" s="31">
        <v>43609</v>
      </c>
      <c r="G437" s="188"/>
    </row>
    <row r="438" spans="2:7" x14ac:dyDescent="0.25">
      <c r="B438" s="256" t="s">
        <v>79</v>
      </c>
      <c r="C438" s="256"/>
      <c r="D438" s="256"/>
      <c r="E438" s="256"/>
      <c r="F438" s="256"/>
      <c r="G438" s="256"/>
    </row>
    <row r="439" spans="2:7" x14ac:dyDescent="0.25">
      <c r="B439" s="190" t="s">
        <v>80</v>
      </c>
      <c r="C439" s="257" t="str">
        <f>IFERROR(VLOOKUP(D436,'DATOS REGISTRADOS'!B:C,2,FALSE)," ")</f>
        <v>Maria del Carmen Segura Aguilar</v>
      </c>
      <c r="D439" s="257"/>
      <c r="E439" s="258"/>
      <c r="F439" s="258"/>
      <c r="G439" s="258"/>
    </row>
    <row r="440" spans="2:7" x14ac:dyDescent="0.25">
      <c r="B440" s="191" t="s">
        <v>81</v>
      </c>
      <c r="C440" s="259" t="str">
        <f>IFERROR(VLOOKUP(D436,'DATOS REGISTRADOS'!B:Q,3,FALSE)," ")</f>
        <v>Mitla # 8020 col.Lomas Modelo</v>
      </c>
      <c r="D440" s="260"/>
      <c r="E440" s="35" t="s">
        <v>82</v>
      </c>
      <c r="F440" s="261">
        <f>IFERROR(VLOOKUP(D436,'DATOS REGISTRADOS'!B:Q,7,FALSE)," ")</f>
        <v>8115993799</v>
      </c>
      <c r="G440" s="261"/>
    </row>
    <row r="441" spans="2:7" x14ac:dyDescent="0.25">
      <c r="B441" s="188"/>
      <c r="C441" s="243" t="str">
        <f>IFERROR(VLOOKUP(D436,'DATOS REGISTRADOS'!B:Q,4,FALSE)," ")</f>
        <v>entre Tlatelolco y Tlacopan , cruz con Tizoc</v>
      </c>
      <c r="D441" s="244"/>
      <c r="E441" s="188">
        <f>IFERROR(VLOOKUP(D436,'DATOS REGISTRADOS'!B:Q,16,FALSE)," ")</f>
        <v>30</v>
      </c>
      <c r="F441" s="188">
        <f>IFERROR(VLOOKUP(E441,'DATOS REGISTRADOS'!B:Q,16,FALSE)," ")</f>
        <v>15</v>
      </c>
      <c r="G441" s="188">
        <f>IFERROR(VLOOKUP(F441,'DATOS REGISTRADOS'!B:Q,16,FALSE)," ")</f>
        <v>11</v>
      </c>
    </row>
    <row r="442" spans="2:7" x14ac:dyDescent="0.25">
      <c r="B442" s="188"/>
      <c r="C442" s="66" t="str">
        <f>IFERROR(VLOOKUP(D436,'DATOS REGISTRADOS'!B:Q,5,FALSE)," ")</f>
        <v>Monterrey Nuevo Leon</v>
      </c>
      <c r="D442" s="67">
        <f>IFERROR(VLOOKUP(D436,'DATOS REGISTRADOS'!B:Q,6,FALSE)," ")</f>
        <v>64140</v>
      </c>
      <c r="E442" s="188" t="s">
        <v>373</v>
      </c>
      <c r="F442" s="188" t="s">
        <v>374</v>
      </c>
      <c r="G442" s="188" t="s">
        <v>375</v>
      </c>
    </row>
    <row r="443" spans="2:7" x14ac:dyDescent="0.25">
      <c r="B443" s="256" t="s">
        <v>83</v>
      </c>
      <c r="C443" s="262"/>
      <c r="D443" s="262"/>
      <c r="E443" s="256"/>
      <c r="F443" s="256"/>
      <c r="G443" s="256"/>
    </row>
    <row r="444" spans="2:7" x14ac:dyDescent="0.25">
      <c r="B444" s="190" t="s">
        <v>84</v>
      </c>
      <c r="C444" s="249" t="s">
        <v>85</v>
      </c>
      <c r="D444" s="249"/>
      <c r="E444" s="190" t="s">
        <v>86</v>
      </c>
      <c r="F444" s="190" t="s">
        <v>87</v>
      </c>
      <c r="G444" s="190" t="s">
        <v>57</v>
      </c>
    </row>
    <row r="445" spans="2:7" x14ac:dyDescent="0.25">
      <c r="B445" s="120" t="s">
        <v>126</v>
      </c>
      <c r="C445" s="241" t="str">
        <f>IFERROR(VLOOKUP(B445,'Productos '!B:C,2,FALSE)," ")</f>
        <v>Recompra 1 Activador Celular</v>
      </c>
      <c r="D445" s="242"/>
      <c r="E445" s="120">
        <v>1</v>
      </c>
      <c r="F445" s="40">
        <f>IFERROR(VLOOKUP(B445,'Productos '!B:G,3,FALSE)," ")</f>
        <v>431.0344827586207</v>
      </c>
      <c r="G445" s="40">
        <f>IFERROR((F445*E445)," ")</f>
        <v>431.0344827586207</v>
      </c>
    </row>
    <row r="446" spans="2:7" x14ac:dyDescent="0.25">
      <c r="B446" s="120" t="s">
        <v>323</v>
      </c>
      <c r="C446" s="241" t="str">
        <f>IFERROR(VLOOKUP(B446,'Productos '!B:C,2,FALSE)," ")</f>
        <v>Promoción ActiCell</v>
      </c>
      <c r="D446" s="242"/>
      <c r="E446" s="120">
        <v>3</v>
      </c>
      <c r="F446" s="40">
        <f>IFERROR(VLOOKUP(B446,'Productos '!B:G,3,FALSE)," ")</f>
        <v>301.72413793103448</v>
      </c>
      <c r="G446" s="40">
        <f t="shared" ref="G446:G451" si="16">IFERROR((F446*E446)," ")</f>
        <v>905.17241379310349</v>
      </c>
    </row>
    <row r="447" spans="2:7" x14ac:dyDescent="0.25">
      <c r="B447" s="120" t="s">
        <v>321</v>
      </c>
      <c r="C447" s="241" t="str">
        <f>IFERROR(VLOOKUP(B447,'Productos '!B:C,2,FALSE)," ")</f>
        <v>Envio</v>
      </c>
      <c r="D447" s="242"/>
      <c r="E447" s="120">
        <v>1</v>
      </c>
      <c r="F447" s="40">
        <f>IFERROR(VLOOKUP(B447,'Productos '!B:G,3,FALSE)," ")</f>
        <v>103.44827586206897</v>
      </c>
      <c r="G447" s="40">
        <f t="shared" si="16"/>
        <v>103.44827586206897</v>
      </c>
    </row>
    <row r="448" spans="2:7" x14ac:dyDescent="0.25">
      <c r="B448" s="120"/>
      <c r="C448" s="241" t="str">
        <f>IFERROR(VLOOKUP(B448,'Productos '!B:C,2,FALSE)," ")</f>
        <v xml:space="preserve"> </v>
      </c>
      <c r="D448" s="242"/>
      <c r="E448" s="120"/>
      <c r="F448" s="40" t="str">
        <f>IFERROR(VLOOKUP(B448,'Productos '!B:G,3,FALSE)," ")</f>
        <v xml:space="preserve"> </v>
      </c>
      <c r="G448" s="40" t="str">
        <f t="shared" si="16"/>
        <v xml:space="preserve"> </v>
      </c>
    </row>
    <row r="449" spans="2:7" x14ac:dyDescent="0.25">
      <c r="B449" s="120"/>
      <c r="C449" s="241" t="str">
        <f>IFERROR(VLOOKUP(B449,'Productos '!B:C,2,FALSE)," ")</f>
        <v xml:space="preserve"> </v>
      </c>
      <c r="D449" s="242"/>
      <c r="E449" s="120"/>
      <c r="F449" s="40" t="str">
        <f>IFERROR(VLOOKUP(B449,'Productos '!B:G,3,FALSE)," ")</f>
        <v xml:space="preserve"> </v>
      </c>
      <c r="G449" s="40" t="str">
        <f t="shared" si="16"/>
        <v xml:space="preserve"> </v>
      </c>
    </row>
    <row r="450" spans="2:7" x14ac:dyDescent="0.25">
      <c r="B450" s="120"/>
      <c r="C450" s="241" t="str">
        <f>IFERROR(VLOOKUP(B450,'Productos '!B:C,2,FALSE)," ")</f>
        <v xml:space="preserve"> </v>
      </c>
      <c r="D450" s="242"/>
      <c r="E450" s="120"/>
      <c r="F450" s="40" t="str">
        <f>IFERROR(VLOOKUP(B450,'Productos '!B:G,3,FALSE)," ")</f>
        <v xml:space="preserve"> </v>
      </c>
      <c r="G450" s="40" t="str">
        <f t="shared" si="16"/>
        <v xml:space="preserve"> </v>
      </c>
    </row>
    <row r="451" spans="2:7" x14ac:dyDescent="0.25">
      <c r="B451" s="120"/>
      <c r="C451" s="241" t="str">
        <f>IFERROR(VLOOKUP(B451,'Productos '!B:C,2,FALSE)," ")</f>
        <v xml:space="preserve"> </v>
      </c>
      <c r="D451" s="242"/>
      <c r="E451" s="120"/>
      <c r="F451" s="40" t="str">
        <f>IFERROR(VLOOKUP(B451,'Productos '!B:G,3,FALSE)," ")</f>
        <v xml:space="preserve"> </v>
      </c>
      <c r="G451" s="40" t="str">
        <f t="shared" si="16"/>
        <v xml:space="preserve"> </v>
      </c>
    </row>
    <row r="452" spans="2:7" x14ac:dyDescent="0.25">
      <c r="B452" s="188"/>
      <c r="C452" s="253" t="s">
        <v>88</v>
      </c>
      <c r="D452" s="254"/>
      <c r="E452" s="38">
        <f>SUM(E445:E451)</f>
        <v>5</v>
      </c>
      <c r="F452" s="190" t="s">
        <v>89</v>
      </c>
      <c r="G452" s="40">
        <f>SUM(G445:G451)</f>
        <v>1439.6551724137933</v>
      </c>
    </row>
    <row r="453" spans="2:7" x14ac:dyDescent="0.25">
      <c r="B453" s="188"/>
      <c r="C453" s="188"/>
      <c r="D453" s="188"/>
      <c r="E453" s="188"/>
      <c r="F453" s="190" t="s">
        <v>90</v>
      </c>
      <c r="G453" s="40">
        <f>G452*16%</f>
        <v>230.34482758620692</v>
      </c>
    </row>
    <row r="454" spans="2:7" x14ac:dyDescent="0.25">
      <c r="B454" s="190" t="s">
        <v>91</v>
      </c>
      <c r="C454" s="241" t="str">
        <f>IFERROR(VLOOKUP(D436,'DATOS REGISTRADOS'!B:R,17,FALSE)," ")</f>
        <v>Marina Concepcion Salazar Soto</v>
      </c>
      <c r="D454" s="252"/>
      <c r="E454" s="242"/>
      <c r="F454" s="190" t="s">
        <v>57</v>
      </c>
      <c r="G454" s="68">
        <f>SUM(G452:G453)</f>
        <v>1670.0000000000002</v>
      </c>
    </row>
    <row r="455" spans="2:7" x14ac:dyDescent="0.25">
      <c r="B455" s="245" t="s">
        <v>343</v>
      </c>
      <c r="C455" s="245"/>
      <c r="D455" s="245"/>
      <c r="E455" s="245"/>
      <c r="F455" s="245"/>
      <c r="G455" s="245"/>
    </row>
    <row r="456" spans="2:7" x14ac:dyDescent="0.25">
      <c r="B456" s="246" t="s">
        <v>124</v>
      </c>
      <c r="C456" s="247"/>
      <c r="D456" s="247"/>
      <c r="E456" s="247"/>
      <c r="F456" s="247"/>
      <c r="G456" s="248"/>
    </row>
    <row r="457" spans="2:7" x14ac:dyDescent="0.25">
      <c r="B457" s="54" t="s">
        <v>123</v>
      </c>
      <c r="C457" s="189"/>
      <c r="D457" s="245" t="s">
        <v>128</v>
      </c>
      <c r="E457" s="245"/>
      <c r="F457" s="245"/>
      <c r="G457" s="245"/>
    </row>
    <row r="460" spans="2:7" x14ac:dyDescent="0.25">
      <c r="B460" s="188"/>
      <c r="C460" s="188"/>
      <c r="D460" s="188"/>
      <c r="E460" s="188"/>
      <c r="F460" s="188"/>
      <c r="G460" s="188"/>
    </row>
    <row r="461" spans="2:7" x14ac:dyDescent="0.25">
      <c r="B461" s="188"/>
      <c r="C461" s="250" t="s">
        <v>22</v>
      </c>
      <c r="D461" s="250"/>
      <c r="E461" s="42"/>
      <c r="F461" s="250"/>
      <c r="G461" s="250"/>
    </row>
    <row r="462" spans="2:7" x14ac:dyDescent="0.25">
      <c r="B462" s="188"/>
      <c r="C462" s="251"/>
      <c r="D462" s="251"/>
      <c r="E462" s="188"/>
      <c r="F462" s="43"/>
      <c r="G462" s="188"/>
    </row>
    <row r="463" spans="2:7" x14ac:dyDescent="0.25">
      <c r="B463" s="188"/>
      <c r="C463" s="27" t="s">
        <v>77</v>
      </c>
      <c r="D463" s="120">
        <v>60</v>
      </c>
      <c r="E463" s="190" t="s">
        <v>125</v>
      </c>
      <c r="F463" s="56">
        <v>60</v>
      </c>
      <c r="G463" s="188"/>
    </row>
    <row r="464" spans="2:7" x14ac:dyDescent="0.25">
      <c r="B464" s="188"/>
      <c r="C464" s="29" t="s">
        <v>76</v>
      </c>
      <c r="D464" s="187">
        <f>IFERROR(VLOOKUP(D463,'DATOS REGISTRADOS'!B:Q,16,FALSE)," ")</f>
        <v>36</v>
      </c>
      <c r="E464" s="30" t="s">
        <v>78</v>
      </c>
      <c r="F464" s="31">
        <v>43609</v>
      </c>
      <c r="G464" s="188"/>
    </row>
    <row r="465" spans="2:7" x14ac:dyDescent="0.25">
      <c r="B465" s="256" t="s">
        <v>79</v>
      </c>
      <c r="C465" s="256"/>
      <c r="D465" s="256"/>
      <c r="E465" s="256"/>
      <c r="F465" s="256"/>
      <c r="G465" s="256"/>
    </row>
    <row r="466" spans="2:7" x14ac:dyDescent="0.25">
      <c r="B466" s="190" t="s">
        <v>80</v>
      </c>
      <c r="C466" s="257" t="str">
        <f>IFERROR(VLOOKUP(D463,'DATOS REGISTRADOS'!B:C,2,FALSE)," ")</f>
        <v>Leonor Gamez Rios</v>
      </c>
      <c r="D466" s="257"/>
      <c r="E466" s="258"/>
      <c r="F466" s="258"/>
      <c r="G466" s="258"/>
    </row>
    <row r="467" spans="2:7" x14ac:dyDescent="0.25">
      <c r="B467" s="191" t="s">
        <v>81</v>
      </c>
      <c r="C467" s="259" t="str">
        <f>IFERROR(VLOOKUP(D463,'DATOS REGISTRADOS'!B:Q,3,FALSE)," ")</f>
        <v>barrio santa cruz av.hidalgo # 710, entre tranvia y panteon</v>
      </c>
      <c r="D467" s="260"/>
      <c r="E467" s="35" t="s">
        <v>82</v>
      </c>
      <c r="F467" s="261">
        <f>IFERROR(VLOOKUP(D463,'DATOS REGISTRADOS'!B:Q,7,FALSE)," ")</f>
        <v>4811563023</v>
      </c>
      <c r="G467" s="261"/>
    </row>
    <row r="468" spans="2:7" x14ac:dyDescent="0.25">
      <c r="B468" s="188"/>
      <c r="C468" s="243" t="str">
        <f>IFERROR(VLOOKUP(D463,'DATOS REGISTRADOS'!B:Q,4,FALSE)," ")</f>
        <v>Agua buena tamasopo San Luis Potosi</v>
      </c>
      <c r="D468" s="244"/>
      <c r="E468" s="188">
        <f>IFERROR(VLOOKUP(D463,'DATOS REGISTRADOS'!B:Q,16,FALSE)," ")</f>
        <v>36</v>
      </c>
      <c r="F468" s="188">
        <f>IFERROR(VLOOKUP(E468,'DATOS REGISTRADOS'!B:Q,16,FALSE)," ")</f>
        <v>30</v>
      </c>
      <c r="G468" s="188">
        <f>IFERROR(VLOOKUP(F468,'DATOS REGISTRADOS'!B:Q,16,FALSE)," ")</f>
        <v>15</v>
      </c>
    </row>
    <row r="469" spans="2:7" x14ac:dyDescent="0.25">
      <c r="B469" s="188"/>
      <c r="C469" s="66" t="str">
        <f>IFERROR(VLOOKUP(D463,'DATOS REGISTRADOS'!B:Q,5,FALSE)," ")</f>
        <v>SLP</v>
      </c>
      <c r="D469" s="67">
        <f>IFERROR(VLOOKUP(D463,'DATOS REGISTRADOS'!B:Q,6,FALSE)," ")</f>
        <v>79710</v>
      </c>
      <c r="E469" s="188" t="s">
        <v>373</v>
      </c>
      <c r="F469" s="188" t="s">
        <v>374</v>
      </c>
      <c r="G469" s="188" t="s">
        <v>375</v>
      </c>
    </row>
    <row r="470" spans="2:7" x14ac:dyDescent="0.25">
      <c r="B470" s="256" t="s">
        <v>83</v>
      </c>
      <c r="C470" s="262"/>
      <c r="D470" s="262"/>
      <c r="E470" s="256"/>
      <c r="F470" s="256"/>
      <c r="G470" s="256"/>
    </row>
    <row r="471" spans="2:7" x14ac:dyDescent="0.25">
      <c r="B471" s="190" t="s">
        <v>84</v>
      </c>
      <c r="C471" s="249" t="s">
        <v>85</v>
      </c>
      <c r="D471" s="249"/>
      <c r="E471" s="190" t="s">
        <v>86</v>
      </c>
      <c r="F471" s="190" t="s">
        <v>87</v>
      </c>
      <c r="G471" s="190" t="s">
        <v>57</v>
      </c>
    </row>
    <row r="472" spans="2:7" x14ac:dyDescent="0.25">
      <c r="B472" s="120" t="s">
        <v>126</v>
      </c>
      <c r="C472" s="241" t="str">
        <f>IFERROR(VLOOKUP(B472,'Productos '!B:C,2,FALSE)," ")</f>
        <v>Recompra 1 Activador Celular</v>
      </c>
      <c r="D472" s="242"/>
      <c r="E472" s="120">
        <v>1</v>
      </c>
      <c r="F472" s="40">
        <f>IFERROR(VLOOKUP(B472,'Productos '!B:G,3,FALSE)," ")</f>
        <v>431.0344827586207</v>
      </c>
      <c r="G472" s="40">
        <f>IFERROR((F472*E472)," ")</f>
        <v>431.0344827586207</v>
      </c>
    </row>
    <row r="473" spans="2:7" x14ac:dyDescent="0.25">
      <c r="B473" s="120" t="s">
        <v>321</v>
      </c>
      <c r="C473" s="241" t="str">
        <f>IFERROR(VLOOKUP(B473,'Productos '!B:C,2,FALSE)," ")</f>
        <v>Envio</v>
      </c>
      <c r="D473" s="242"/>
      <c r="E473" s="120">
        <v>1</v>
      </c>
      <c r="F473" s="40">
        <f>IFERROR(VLOOKUP(B473,'Productos '!B:G,3,FALSE)," ")</f>
        <v>103.44827586206897</v>
      </c>
      <c r="G473" s="40">
        <f t="shared" ref="G473:G478" si="17">IFERROR((F473*E473)," ")</f>
        <v>103.44827586206897</v>
      </c>
    </row>
    <row r="474" spans="2:7" x14ac:dyDescent="0.25">
      <c r="B474" s="120"/>
      <c r="C474" s="241" t="str">
        <f>IFERROR(VLOOKUP(B474,'Productos '!B:C,2,FALSE)," ")</f>
        <v xml:space="preserve"> </v>
      </c>
      <c r="D474" s="242"/>
      <c r="E474" s="120"/>
      <c r="F474" s="40" t="str">
        <f>IFERROR(VLOOKUP(B474,'Productos '!B:G,3,FALSE)," ")</f>
        <v xml:space="preserve"> </v>
      </c>
      <c r="G474" s="40" t="str">
        <f t="shared" si="17"/>
        <v xml:space="preserve"> </v>
      </c>
    </row>
    <row r="475" spans="2:7" x14ac:dyDescent="0.25">
      <c r="B475" s="120"/>
      <c r="C475" s="241" t="str">
        <f>IFERROR(VLOOKUP(B475,'Productos '!B:C,2,FALSE)," ")</f>
        <v xml:space="preserve"> </v>
      </c>
      <c r="D475" s="242"/>
      <c r="E475" s="120"/>
      <c r="F475" s="40" t="str">
        <f>IFERROR(VLOOKUP(B475,'Productos '!B:G,3,FALSE)," ")</f>
        <v xml:space="preserve"> </v>
      </c>
      <c r="G475" s="40" t="str">
        <f t="shared" si="17"/>
        <v xml:space="preserve"> </v>
      </c>
    </row>
    <row r="476" spans="2:7" x14ac:dyDescent="0.25">
      <c r="B476" s="120"/>
      <c r="C476" s="241" t="str">
        <f>IFERROR(VLOOKUP(B476,'Productos '!B:C,2,FALSE)," ")</f>
        <v xml:space="preserve"> </v>
      </c>
      <c r="D476" s="242"/>
      <c r="E476" s="120"/>
      <c r="F476" s="40" t="str">
        <f>IFERROR(VLOOKUP(B476,'Productos '!B:G,3,FALSE)," ")</f>
        <v xml:space="preserve"> </v>
      </c>
      <c r="G476" s="40" t="str">
        <f t="shared" si="17"/>
        <v xml:space="preserve"> </v>
      </c>
    </row>
    <row r="477" spans="2:7" x14ac:dyDescent="0.25">
      <c r="B477" s="120"/>
      <c r="C477" s="241" t="str">
        <f>IFERROR(VLOOKUP(B477,'Productos '!B:C,2,FALSE)," ")</f>
        <v xml:space="preserve"> </v>
      </c>
      <c r="D477" s="242"/>
      <c r="E477" s="120"/>
      <c r="F477" s="40" t="str">
        <f>IFERROR(VLOOKUP(B477,'Productos '!B:G,3,FALSE)," ")</f>
        <v xml:space="preserve"> </v>
      </c>
      <c r="G477" s="40" t="str">
        <f t="shared" si="17"/>
        <v xml:space="preserve"> </v>
      </c>
    </row>
    <row r="478" spans="2:7" x14ac:dyDescent="0.25">
      <c r="B478" s="120"/>
      <c r="C478" s="241" t="str">
        <f>IFERROR(VLOOKUP(B478,'Productos '!B:C,2,FALSE)," ")</f>
        <v xml:space="preserve"> </v>
      </c>
      <c r="D478" s="242"/>
      <c r="E478" s="120"/>
      <c r="F478" s="40" t="str">
        <f>IFERROR(VLOOKUP(B478,'Productos '!B:G,3,FALSE)," ")</f>
        <v xml:space="preserve"> </v>
      </c>
      <c r="G478" s="40" t="str">
        <f t="shared" si="17"/>
        <v xml:space="preserve"> </v>
      </c>
    </row>
    <row r="479" spans="2:7" x14ac:dyDescent="0.25">
      <c r="B479" s="188"/>
      <c r="C479" s="253" t="s">
        <v>88</v>
      </c>
      <c r="D479" s="254"/>
      <c r="E479" s="38">
        <f>SUM(E472:E478)</f>
        <v>2</v>
      </c>
      <c r="F479" s="190" t="s">
        <v>89</v>
      </c>
      <c r="G479" s="40">
        <f>SUM(G472:G478)</f>
        <v>534.48275862068965</v>
      </c>
    </row>
    <row r="480" spans="2:7" x14ac:dyDescent="0.25">
      <c r="B480" s="188"/>
      <c r="C480" s="188"/>
      <c r="D480" s="188"/>
      <c r="E480" s="188"/>
      <c r="F480" s="190" t="s">
        <v>90</v>
      </c>
      <c r="G480" s="40">
        <f>G479*16%</f>
        <v>85.517241379310349</v>
      </c>
    </row>
    <row r="481" spans="2:7" x14ac:dyDescent="0.25">
      <c r="B481" s="190" t="s">
        <v>91</v>
      </c>
      <c r="C481" s="241" t="str">
        <f>IFERROR(VLOOKUP(D463,'DATOS REGISTRADOS'!B:R,17,FALSE)," ")</f>
        <v>Maria del Carmen Segura Aguilar</v>
      </c>
      <c r="D481" s="252"/>
      <c r="E481" s="242"/>
      <c r="F481" s="190" t="s">
        <v>57</v>
      </c>
      <c r="G481" s="68">
        <f>SUM(G479:G480)</f>
        <v>620</v>
      </c>
    </row>
    <row r="482" spans="2:7" x14ac:dyDescent="0.25">
      <c r="B482" s="245" t="s">
        <v>343</v>
      </c>
      <c r="C482" s="245"/>
      <c r="D482" s="245"/>
      <c r="E482" s="245"/>
      <c r="F482" s="245"/>
      <c r="G482" s="245"/>
    </row>
    <row r="483" spans="2:7" x14ac:dyDescent="0.25">
      <c r="B483" s="246" t="s">
        <v>124</v>
      </c>
      <c r="C483" s="247"/>
      <c r="D483" s="247"/>
      <c r="E483" s="247"/>
      <c r="F483" s="247"/>
      <c r="G483" s="248"/>
    </row>
    <row r="484" spans="2:7" x14ac:dyDescent="0.25">
      <c r="B484" s="54" t="s">
        <v>123</v>
      </c>
      <c r="C484" s="189"/>
      <c r="D484" s="245" t="s">
        <v>128</v>
      </c>
      <c r="E484" s="245"/>
      <c r="F484" s="245"/>
      <c r="G484" s="245"/>
    </row>
    <row r="487" spans="2:7" x14ac:dyDescent="0.25">
      <c r="B487" s="188"/>
      <c r="C487" s="188"/>
      <c r="D487" s="188"/>
      <c r="E487" s="188"/>
      <c r="F487" s="188"/>
      <c r="G487" s="188"/>
    </row>
    <row r="488" spans="2:7" x14ac:dyDescent="0.25">
      <c r="B488" s="188"/>
      <c r="C488" s="250" t="s">
        <v>22</v>
      </c>
      <c r="D488" s="250"/>
      <c r="E488" s="42"/>
      <c r="F488" s="250"/>
      <c r="G488" s="250"/>
    </row>
    <row r="489" spans="2:7" x14ac:dyDescent="0.25">
      <c r="B489" s="188"/>
      <c r="C489" s="251"/>
      <c r="D489" s="251"/>
      <c r="E489" s="188"/>
      <c r="F489" s="43"/>
      <c r="G489" s="188"/>
    </row>
    <row r="490" spans="2:7" x14ac:dyDescent="0.25">
      <c r="B490" s="188"/>
      <c r="C490" s="27" t="s">
        <v>77</v>
      </c>
      <c r="D490" s="120">
        <v>19</v>
      </c>
      <c r="E490" s="190" t="s">
        <v>125</v>
      </c>
      <c r="F490" s="56">
        <v>59</v>
      </c>
      <c r="G490" s="188"/>
    </row>
    <row r="491" spans="2:7" x14ac:dyDescent="0.25">
      <c r="B491" s="188"/>
      <c r="C491" s="29" t="s">
        <v>76</v>
      </c>
      <c r="D491" s="187">
        <f>IFERROR(VLOOKUP(D490,'DATOS REGISTRADOS'!B:Q,16,FALSE)," ")</f>
        <v>11</v>
      </c>
      <c r="E491" s="30" t="s">
        <v>78</v>
      </c>
      <c r="F491" s="31">
        <v>43609</v>
      </c>
      <c r="G491" s="188"/>
    </row>
    <row r="492" spans="2:7" x14ac:dyDescent="0.25">
      <c r="B492" s="256" t="s">
        <v>79</v>
      </c>
      <c r="C492" s="256"/>
      <c r="D492" s="256"/>
      <c r="E492" s="256"/>
      <c r="F492" s="256"/>
      <c r="G492" s="256"/>
    </row>
    <row r="493" spans="2:7" x14ac:dyDescent="0.25">
      <c r="B493" s="190" t="s">
        <v>80</v>
      </c>
      <c r="C493" s="257" t="str">
        <f>IFERROR(VLOOKUP(D490,'DATOS REGISTRADOS'!B:C,2,FALSE)," ")</f>
        <v>Magdaleno CANTU CANTU</v>
      </c>
      <c r="D493" s="257"/>
      <c r="E493" s="258"/>
      <c r="F493" s="258"/>
      <c r="G493" s="258"/>
    </row>
    <row r="494" spans="2:7" x14ac:dyDescent="0.25">
      <c r="B494" s="191" t="s">
        <v>81</v>
      </c>
      <c r="C494" s="259" t="str">
        <f>IFERROR(VLOOKUP(D490,'DATOS REGISTRADOS'!B:Q,3,FALSE)," ")</f>
        <v>Hacienda los naranjos #100</v>
      </c>
      <c r="D494" s="260"/>
      <c r="E494" s="35" t="s">
        <v>82</v>
      </c>
      <c r="F494" s="261">
        <f>IFERROR(VLOOKUP(D490,'DATOS REGISTRADOS'!B:Q,7,FALSE)," ")</f>
        <v>8186913173</v>
      </c>
      <c r="G494" s="261"/>
    </row>
    <row r="495" spans="2:7" x14ac:dyDescent="0.25">
      <c r="B495" s="188"/>
      <c r="C495" s="243" t="str">
        <f>IFERROR(VLOOKUP(D490,'DATOS REGISTRADOS'!B:Q,4,FALSE)," ")</f>
        <v>Colonia rancho viejo,Ciudad Guadalupe nuevo leon</v>
      </c>
      <c r="D495" s="244"/>
      <c r="E495" s="188">
        <f>IFERROR(VLOOKUP(D490,'DATOS REGISTRADOS'!B:Q,16,FALSE)," ")</f>
        <v>11</v>
      </c>
      <c r="F495" s="188">
        <f>IFERROR(VLOOKUP(E495,'DATOS REGISTRADOS'!B:Q,16,FALSE)," ")</f>
        <v>10</v>
      </c>
      <c r="G495" s="188">
        <f>IFERROR(VLOOKUP(F495,'DATOS REGISTRADOS'!B:Q,16,FALSE)," ")</f>
        <v>1</v>
      </c>
    </row>
    <row r="496" spans="2:7" x14ac:dyDescent="0.25">
      <c r="B496" s="188"/>
      <c r="C496" s="66" t="str">
        <f>IFERROR(VLOOKUP(D490,'DATOS REGISTRADOS'!B:Q,5,FALSE)," ")</f>
        <v>Ciudad Guadalupe nuevo leon</v>
      </c>
      <c r="D496" s="67">
        <f>IFERROR(VLOOKUP(D490,'DATOS REGISTRADOS'!B:Q,6,FALSE)," ")</f>
        <v>67192</v>
      </c>
      <c r="E496" s="188" t="s">
        <v>373</v>
      </c>
      <c r="F496" s="188" t="s">
        <v>374</v>
      </c>
      <c r="G496" s="188" t="s">
        <v>375</v>
      </c>
    </row>
    <row r="497" spans="2:7" x14ac:dyDescent="0.25">
      <c r="B497" s="256" t="s">
        <v>83</v>
      </c>
      <c r="C497" s="262"/>
      <c r="D497" s="262"/>
      <c r="E497" s="256"/>
      <c r="F497" s="256"/>
      <c r="G497" s="256"/>
    </row>
    <row r="498" spans="2:7" x14ac:dyDescent="0.25">
      <c r="B498" s="190" t="s">
        <v>84</v>
      </c>
      <c r="C498" s="249" t="s">
        <v>85</v>
      </c>
      <c r="D498" s="249"/>
      <c r="E498" s="190" t="s">
        <v>86</v>
      </c>
      <c r="F498" s="190" t="s">
        <v>87</v>
      </c>
      <c r="G498" s="190" t="s">
        <v>57</v>
      </c>
    </row>
    <row r="499" spans="2:7" x14ac:dyDescent="0.25">
      <c r="B499" s="120" t="s">
        <v>323</v>
      </c>
      <c r="C499" s="241" t="str">
        <f>IFERROR(VLOOKUP(B499,'Productos '!B:C,2,FALSE)," ")</f>
        <v>Promoción ActiCell</v>
      </c>
      <c r="D499" s="242"/>
      <c r="E499" s="120">
        <v>3</v>
      </c>
      <c r="F499" s="40">
        <f>IFERROR(VLOOKUP(B499,'Productos '!B:G,3,FALSE)," ")</f>
        <v>301.72413793103448</v>
      </c>
      <c r="G499" s="40">
        <f>IFERROR((F499*E499)," ")</f>
        <v>905.17241379310349</v>
      </c>
    </row>
    <row r="500" spans="2:7" x14ac:dyDescent="0.25">
      <c r="B500" s="120" t="s">
        <v>126</v>
      </c>
      <c r="C500" s="241" t="str">
        <f>IFERROR(VLOOKUP(B500,'Productos '!B:C,2,FALSE)," ")</f>
        <v>Recompra 1 Activador Celular</v>
      </c>
      <c r="D500" s="242"/>
      <c r="E500" s="120">
        <v>1</v>
      </c>
      <c r="F500" s="40">
        <f>IFERROR(VLOOKUP(B500,'Productos '!B:G,3,FALSE)," ")</f>
        <v>431.0344827586207</v>
      </c>
      <c r="G500" s="40">
        <f t="shared" ref="G500:G505" si="18">IFERROR((F500*E500)," ")</f>
        <v>431.0344827586207</v>
      </c>
    </row>
    <row r="501" spans="2:7" x14ac:dyDescent="0.25">
      <c r="B501" s="120" t="s">
        <v>321</v>
      </c>
      <c r="C501" s="241" t="str">
        <f>IFERROR(VLOOKUP(B501,'Productos '!B:C,2,FALSE)," ")</f>
        <v>Envio</v>
      </c>
      <c r="D501" s="242"/>
      <c r="E501" s="120">
        <v>1</v>
      </c>
      <c r="F501" s="40">
        <f>IFERROR(VLOOKUP(B501,'Productos '!B:G,3,FALSE)," ")</f>
        <v>103.44827586206897</v>
      </c>
      <c r="G501" s="40">
        <f t="shared" si="18"/>
        <v>103.44827586206897</v>
      </c>
    </row>
    <row r="502" spans="2:7" x14ac:dyDescent="0.25">
      <c r="B502" s="120"/>
      <c r="C502" s="241" t="str">
        <f>IFERROR(VLOOKUP(B502,'Productos '!B:C,2,FALSE)," ")</f>
        <v xml:space="preserve"> </v>
      </c>
      <c r="D502" s="242"/>
      <c r="E502" s="120"/>
      <c r="F502" s="40" t="str">
        <f>IFERROR(VLOOKUP(B502,'Productos '!B:G,3,FALSE)," ")</f>
        <v xml:space="preserve"> </v>
      </c>
      <c r="G502" s="40" t="str">
        <f t="shared" si="18"/>
        <v xml:space="preserve"> </v>
      </c>
    </row>
    <row r="503" spans="2:7" x14ac:dyDescent="0.25">
      <c r="B503" s="120"/>
      <c r="C503" s="241" t="str">
        <f>IFERROR(VLOOKUP(B503,'Productos '!B:C,2,FALSE)," ")</f>
        <v xml:space="preserve"> </v>
      </c>
      <c r="D503" s="242"/>
      <c r="E503" s="120"/>
      <c r="F503" s="40" t="str">
        <f>IFERROR(VLOOKUP(B503,'Productos '!B:G,3,FALSE)," ")</f>
        <v xml:space="preserve"> </v>
      </c>
      <c r="G503" s="40" t="str">
        <f t="shared" si="18"/>
        <v xml:space="preserve"> </v>
      </c>
    </row>
    <row r="504" spans="2:7" x14ac:dyDescent="0.25">
      <c r="B504" s="120"/>
      <c r="C504" s="241" t="str">
        <f>IFERROR(VLOOKUP(B504,'Productos '!B:C,2,FALSE)," ")</f>
        <v xml:space="preserve"> </v>
      </c>
      <c r="D504" s="242"/>
      <c r="E504" s="120"/>
      <c r="F504" s="40" t="str">
        <f>IFERROR(VLOOKUP(B504,'Productos '!B:G,3,FALSE)," ")</f>
        <v xml:space="preserve"> </v>
      </c>
      <c r="G504" s="40" t="str">
        <f t="shared" si="18"/>
        <v xml:space="preserve"> </v>
      </c>
    </row>
    <row r="505" spans="2:7" x14ac:dyDescent="0.25">
      <c r="B505" s="120"/>
      <c r="C505" s="241" t="str">
        <f>IFERROR(VLOOKUP(B505,'Productos '!B:C,2,FALSE)," ")</f>
        <v xml:space="preserve"> </v>
      </c>
      <c r="D505" s="242"/>
      <c r="E505" s="120"/>
      <c r="F505" s="40" t="str">
        <f>IFERROR(VLOOKUP(B505,'Productos '!B:G,3,FALSE)," ")</f>
        <v xml:space="preserve"> </v>
      </c>
      <c r="G505" s="40" t="str">
        <f t="shared" si="18"/>
        <v xml:space="preserve"> </v>
      </c>
    </row>
    <row r="506" spans="2:7" x14ac:dyDescent="0.25">
      <c r="B506" s="188"/>
      <c r="C506" s="253" t="s">
        <v>88</v>
      </c>
      <c r="D506" s="254"/>
      <c r="E506" s="38">
        <f>SUM(E499:E505)</f>
        <v>5</v>
      </c>
      <c r="F506" s="190" t="s">
        <v>89</v>
      </c>
      <c r="G506" s="40">
        <f>SUM(G499:G505)</f>
        <v>1439.6551724137933</v>
      </c>
    </row>
    <row r="507" spans="2:7" x14ac:dyDescent="0.25">
      <c r="B507" s="188"/>
      <c r="C507" s="188"/>
      <c r="D507" s="188"/>
      <c r="E507" s="188"/>
      <c r="F507" s="190" t="s">
        <v>90</v>
      </c>
      <c r="G507" s="40">
        <f>G506*16%</f>
        <v>230.34482758620692</v>
      </c>
    </row>
    <row r="508" spans="2:7" x14ac:dyDescent="0.25">
      <c r="B508" s="190" t="s">
        <v>91</v>
      </c>
      <c r="C508" s="241" t="str">
        <f>IFERROR(VLOOKUP(D490,'DATOS REGISTRADOS'!B:R,17,FALSE)," ")</f>
        <v>Silvano Cavazos Salazar</v>
      </c>
      <c r="D508" s="252"/>
      <c r="E508" s="242"/>
      <c r="F508" s="190" t="s">
        <v>57</v>
      </c>
      <c r="G508" s="68">
        <f>SUM(G506:G507)</f>
        <v>1670.0000000000002</v>
      </c>
    </row>
    <row r="509" spans="2:7" x14ac:dyDescent="0.25">
      <c r="B509" s="245" t="s">
        <v>343</v>
      </c>
      <c r="C509" s="245"/>
      <c r="D509" s="245"/>
      <c r="E509" s="245"/>
      <c r="F509" s="245"/>
      <c r="G509" s="245"/>
    </row>
    <row r="510" spans="2:7" x14ac:dyDescent="0.25">
      <c r="B510" s="246" t="s">
        <v>124</v>
      </c>
      <c r="C510" s="247"/>
      <c r="D510" s="247"/>
      <c r="E510" s="247"/>
      <c r="F510" s="247"/>
      <c r="G510" s="248"/>
    </row>
    <row r="511" spans="2:7" x14ac:dyDescent="0.25">
      <c r="B511" s="54" t="s">
        <v>123</v>
      </c>
      <c r="C511" s="189"/>
      <c r="D511" s="245" t="s">
        <v>128</v>
      </c>
      <c r="E511" s="245"/>
      <c r="F511" s="245"/>
      <c r="G511" s="245"/>
    </row>
    <row r="514" spans="2:7" x14ac:dyDescent="0.25">
      <c r="B514" s="184"/>
      <c r="C514" s="184"/>
      <c r="D514" s="184"/>
      <c r="E514" s="184"/>
      <c r="F514" s="184"/>
      <c r="G514" s="184"/>
    </row>
    <row r="515" spans="2:7" x14ac:dyDescent="0.25">
      <c r="B515" s="184"/>
      <c r="C515" s="250" t="s">
        <v>22</v>
      </c>
      <c r="D515" s="250"/>
      <c r="E515" s="42"/>
      <c r="F515" s="250"/>
      <c r="G515" s="250"/>
    </row>
    <row r="516" spans="2:7" x14ac:dyDescent="0.25">
      <c r="B516" s="184"/>
      <c r="C516" s="251"/>
      <c r="D516" s="251"/>
      <c r="E516" s="184"/>
      <c r="F516" s="43"/>
      <c r="G516" s="184"/>
    </row>
    <row r="517" spans="2:7" x14ac:dyDescent="0.25">
      <c r="B517" s="184"/>
      <c r="C517" s="27" t="s">
        <v>77</v>
      </c>
      <c r="D517" s="120">
        <v>54</v>
      </c>
      <c r="E517" s="183" t="s">
        <v>125</v>
      </c>
      <c r="F517" s="56">
        <v>58</v>
      </c>
      <c r="G517" s="184"/>
    </row>
    <row r="518" spans="2:7" x14ac:dyDescent="0.25">
      <c r="B518" s="184"/>
      <c r="C518" s="29" t="s">
        <v>76</v>
      </c>
      <c r="D518" s="186">
        <f>IFERROR(VLOOKUP(D517,'DATOS REGISTRADOS'!B:Q,16,FALSE)," ")</f>
        <v>32</v>
      </c>
      <c r="E518" s="30" t="s">
        <v>78</v>
      </c>
      <c r="F518" s="31">
        <v>43592</v>
      </c>
      <c r="G518" s="184"/>
    </row>
    <row r="519" spans="2:7" x14ac:dyDescent="0.25">
      <c r="B519" s="256" t="s">
        <v>79</v>
      </c>
      <c r="C519" s="256"/>
      <c r="D519" s="256"/>
      <c r="E519" s="256"/>
      <c r="F519" s="256"/>
      <c r="G519" s="256"/>
    </row>
    <row r="520" spans="2:7" x14ac:dyDescent="0.25">
      <c r="B520" s="183" t="s">
        <v>80</v>
      </c>
      <c r="C520" s="257" t="str">
        <f>IFERROR(VLOOKUP(D517,'DATOS REGISTRADOS'!B:C,2,FALSE)," ")</f>
        <v>Teresa Abigail Olvera Rivera</v>
      </c>
      <c r="D520" s="257"/>
      <c r="E520" s="258"/>
      <c r="F520" s="258"/>
      <c r="G520" s="258"/>
    </row>
    <row r="521" spans="2:7" x14ac:dyDescent="0.25">
      <c r="B521" s="185" t="s">
        <v>81</v>
      </c>
      <c r="C521" s="259" t="str">
        <f>IFERROR(VLOOKUP(D517,'DATOS REGISTRADOS'!B:Q,3,FALSE)," ")</f>
        <v>Rey Fernando de Aragón 739 entre Cristóbal Colón y puerto de palos</v>
      </c>
      <c r="D521" s="260"/>
      <c r="E521" s="35" t="s">
        <v>82</v>
      </c>
      <c r="F521" s="261">
        <f>IFERROR(VLOOKUP(D517,'DATOS REGISTRADOS'!B:Q,7,FALSE)," ")</f>
        <v>8127319013</v>
      </c>
      <c r="G521" s="261"/>
    </row>
    <row r="522" spans="2:7" x14ac:dyDescent="0.25">
      <c r="B522" s="184"/>
      <c r="C522" s="243" t="str">
        <f>IFERROR(VLOOKUP(D517,'DATOS REGISTRADOS'!B:Q,4,FALSE)," ")</f>
        <v>colonia quinto centenario general Escobedo</v>
      </c>
      <c r="D522" s="244"/>
      <c r="E522" s="184">
        <f>IFERROR(VLOOKUP(D517,'DATOS REGISTRADOS'!B:Q,16,FALSE)," ")</f>
        <v>32</v>
      </c>
      <c r="F522" s="184">
        <f>IFERROR(VLOOKUP(E522,'DATOS REGISTRADOS'!B:Q,16,FALSE)," ")</f>
        <v>23</v>
      </c>
      <c r="G522" s="184">
        <f>IFERROR(VLOOKUP(F522,'DATOS REGISTRADOS'!B:Q,16,FALSE)," ")</f>
        <v>11</v>
      </c>
    </row>
    <row r="523" spans="2:7" x14ac:dyDescent="0.25">
      <c r="B523" s="184"/>
      <c r="C523" s="66" t="str">
        <f>IFERROR(VLOOKUP(D517,'DATOS REGISTRADOS'!B:Q,5,FALSE)," ")</f>
        <v>Nuevo Leon</v>
      </c>
      <c r="D523" s="67">
        <f>IFERROR(VLOOKUP(D517,'DATOS REGISTRADOS'!B:Q,6,FALSE)," ")</f>
        <v>66072</v>
      </c>
      <c r="E523" s="184" t="s">
        <v>373</v>
      </c>
      <c r="F523" s="184" t="s">
        <v>374</v>
      </c>
      <c r="G523" s="184" t="s">
        <v>375</v>
      </c>
    </row>
    <row r="524" spans="2:7" x14ac:dyDescent="0.25">
      <c r="B524" s="256" t="s">
        <v>83</v>
      </c>
      <c r="C524" s="262"/>
      <c r="D524" s="262"/>
      <c r="E524" s="256"/>
      <c r="F524" s="256"/>
      <c r="G524" s="256"/>
    </row>
    <row r="525" spans="2:7" x14ac:dyDescent="0.25">
      <c r="B525" s="183" t="s">
        <v>84</v>
      </c>
      <c r="C525" s="249" t="s">
        <v>85</v>
      </c>
      <c r="D525" s="249"/>
      <c r="E525" s="183" t="s">
        <v>86</v>
      </c>
      <c r="F525" s="183" t="s">
        <v>87</v>
      </c>
      <c r="G525" s="183" t="s">
        <v>57</v>
      </c>
    </row>
    <row r="526" spans="2:7" x14ac:dyDescent="0.25">
      <c r="B526" s="120" t="s">
        <v>322</v>
      </c>
      <c r="C526" s="241" t="str">
        <f>IFERROR(VLOOKUP(B526,'Productos '!B:C,2,FALSE)," ")</f>
        <v>Bono MAYORISTA 12 productos</v>
      </c>
      <c r="D526" s="242"/>
      <c r="E526" s="120">
        <v>1</v>
      </c>
      <c r="F526" s="40">
        <f>IFERROR(VLOOKUP(B526,'Productos '!B:G,3,FALSE)," ")</f>
        <v>4310.3448275862065</v>
      </c>
      <c r="G526" s="40">
        <f>IFERROR((F526*E526)," ")</f>
        <v>4310.3448275862065</v>
      </c>
    </row>
    <row r="527" spans="2:7" x14ac:dyDescent="0.25">
      <c r="B527" s="120" t="s">
        <v>321</v>
      </c>
      <c r="C527" s="241" t="str">
        <f>IFERROR(VLOOKUP(B527,'Productos '!B:C,2,FALSE)," ")</f>
        <v>Envio</v>
      </c>
      <c r="D527" s="242"/>
      <c r="E527" s="120">
        <v>2</v>
      </c>
      <c r="F527" s="40">
        <f>IFERROR(VLOOKUP(B527,'Productos '!B:G,3,FALSE)," ")</f>
        <v>103.44827586206897</v>
      </c>
      <c r="G527" s="40">
        <f t="shared" ref="G527:G532" si="19">IFERROR((F527*E527)," ")</f>
        <v>206.89655172413794</v>
      </c>
    </row>
    <row r="528" spans="2:7" x14ac:dyDescent="0.25">
      <c r="B528" s="120"/>
      <c r="C528" s="241" t="str">
        <f>IFERROR(VLOOKUP(B528,'Productos '!B:C,2,FALSE)," ")</f>
        <v xml:space="preserve"> </v>
      </c>
      <c r="D528" s="242"/>
      <c r="E528" s="120"/>
      <c r="F528" s="40" t="str">
        <f>IFERROR(VLOOKUP(B528,'Productos '!B:G,3,FALSE)," ")</f>
        <v xml:space="preserve"> </v>
      </c>
      <c r="G528" s="40" t="str">
        <f t="shared" si="19"/>
        <v xml:space="preserve"> </v>
      </c>
    </row>
    <row r="529" spans="2:7" x14ac:dyDescent="0.25">
      <c r="B529" s="120"/>
      <c r="C529" s="241" t="str">
        <f>IFERROR(VLOOKUP(B529,'Productos '!B:C,2,FALSE)," ")</f>
        <v xml:space="preserve"> </v>
      </c>
      <c r="D529" s="242"/>
      <c r="E529" s="120"/>
      <c r="F529" s="40" t="str">
        <f>IFERROR(VLOOKUP(B529,'Productos '!B:G,3,FALSE)," ")</f>
        <v xml:space="preserve"> </v>
      </c>
      <c r="G529" s="40" t="str">
        <f t="shared" si="19"/>
        <v xml:space="preserve"> </v>
      </c>
    </row>
    <row r="530" spans="2:7" x14ac:dyDescent="0.25">
      <c r="B530" s="120"/>
      <c r="C530" s="241" t="str">
        <f>IFERROR(VLOOKUP(B530,'Productos '!B:C,2,FALSE)," ")</f>
        <v xml:space="preserve"> </v>
      </c>
      <c r="D530" s="242"/>
      <c r="E530" s="120"/>
      <c r="F530" s="40" t="str">
        <f>IFERROR(VLOOKUP(B530,'Productos '!B:G,3,FALSE)," ")</f>
        <v xml:space="preserve"> </v>
      </c>
      <c r="G530" s="40" t="str">
        <f t="shared" si="19"/>
        <v xml:space="preserve"> </v>
      </c>
    </row>
    <row r="531" spans="2:7" x14ac:dyDescent="0.25">
      <c r="B531" s="120"/>
      <c r="C531" s="241" t="str">
        <f>IFERROR(VLOOKUP(B531,'Productos '!B:C,2,FALSE)," ")</f>
        <v xml:space="preserve"> </v>
      </c>
      <c r="D531" s="242"/>
      <c r="E531" s="120"/>
      <c r="F531" s="40" t="str">
        <f>IFERROR(VLOOKUP(B531,'Productos '!B:G,3,FALSE)," ")</f>
        <v xml:space="preserve"> </v>
      </c>
      <c r="G531" s="40" t="str">
        <f t="shared" si="19"/>
        <v xml:space="preserve"> </v>
      </c>
    </row>
    <row r="532" spans="2:7" x14ac:dyDescent="0.25">
      <c r="B532" s="120"/>
      <c r="C532" s="241" t="str">
        <f>IFERROR(VLOOKUP(B532,'Productos '!B:C,2,FALSE)," ")</f>
        <v xml:space="preserve"> </v>
      </c>
      <c r="D532" s="242"/>
      <c r="E532" s="120"/>
      <c r="F532" s="40" t="str">
        <f>IFERROR(VLOOKUP(B532,'Productos '!B:G,3,FALSE)," ")</f>
        <v xml:space="preserve"> </v>
      </c>
      <c r="G532" s="40" t="str">
        <f t="shared" si="19"/>
        <v xml:space="preserve"> </v>
      </c>
    </row>
    <row r="533" spans="2:7" x14ac:dyDescent="0.25">
      <c r="B533" s="184"/>
      <c r="C533" s="253" t="s">
        <v>88</v>
      </c>
      <c r="D533" s="254"/>
      <c r="E533" s="38">
        <f>SUM(E526:E532)</f>
        <v>3</v>
      </c>
      <c r="F533" s="183" t="s">
        <v>89</v>
      </c>
      <c r="G533" s="40">
        <f>SUM(G526:G532)</f>
        <v>4517.2413793103442</v>
      </c>
    </row>
    <row r="534" spans="2:7" x14ac:dyDescent="0.25">
      <c r="B534" s="184"/>
      <c r="C534" s="184"/>
      <c r="D534" s="184"/>
      <c r="E534" s="184"/>
      <c r="F534" s="183" t="s">
        <v>90</v>
      </c>
      <c r="G534" s="40">
        <f>G533*16%</f>
        <v>722.75862068965512</v>
      </c>
    </row>
    <row r="535" spans="2:7" x14ac:dyDescent="0.25">
      <c r="B535" s="183" t="s">
        <v>91</v>
      </c>
      <c r="C535" s="241" t="str">
        <f>IFERROR(VLOOKUP(D517,'DATOS REGISTRADOS'!B:R,17,FALSE)," ")</f>
        <v>Teresa Rivera Cortez</v>
      </c>
      <c r="D535" s="252"/>
      <c r="E535" s="242"/>
      <c r="F535" s="183" t="s">
        <v>57</v>
      </c>
      <c r="G535" s="68">
        <f>SUM(G533:G534)</f>
        <v>5239.9999999999991</v>
      </c>
    </row>
    <row r="536" spans="2:7" x14ac:dyDescent="0.25">
      <c r="B536" s="245" t="s">
        <v>343</v>
      </c>
      <c r="C536" s="245"/>
      <c r="D536" s="245"/>
      <c r="E536" s="245"/>
      <c r="F536" s="245"/>
      <c r="G536" s="245"/>
    </row>
    <row r="537" spans="2:7" x14ac:dyDescent="0.25">
      <c r="B537" s="246" t="s">
        <v>124</v>
      </c>
      <c r="C537" s="247"/>
      <c r="D537" s="247"/>
      <c r="E537" s="247"/>
      <c r="F537" s="247"/>
      <c r="G537" s="248"/>
    </row>
    <row r="538" spans="2:7" x14ac:dyDescent="0.25">
      <c r="B538" s="54" t="s">
        <v>123</v>
      </c>
      <c r="C538" s="182"/>
      <c r="D538" s="245" t="s">
        <v>128</v>
      </c>
      <c r="E538" s="245"/>
      <c r="F538" s="245"/>
      <c r="G538" s="245"/>
    </row>
    <row r="541" spans="2:7" x14ac:dyDescent="0.25">
      <c r="B541" s="184"/>
      <c r="C541" s="184"/>
      <c r="D541" s="184"/>
      <c r="E541" s="184"/>
      <c r="F541" s="184"/>
      <c r="G541" s="184"/>
    </row>
    <row r="542" spans="2:7" x14ac:dyDescent="0.25">
      <c r="B542" s="184"/>
      <c r="C542" s="250" t="s">
        <v>22</v>
      </c>
      <c r="D542" s="250"/>
      <c r="E542" s="42"/>
      <c r="F542" s="250"/>
      <c r="G542" s="250"/>
    </row>
    <row r="543" spans="2:7" x14ac:dyDescent="0.25">
      <c r="B543" s="184"/>
      <c r="C543" s="251"/>
      <c r="D543" s="251"/>
      <c r="E543" s="184"/>
      <c r="F543" s="43"/>
      <c r="G543" s="184"/>
    </row>
    <row r="544" spans="2:7" x14ac:dyDescent="0.25">
      <c r="B544" s="184"/>
      <c r="C544" s="27" t="s">
        <v>77</v>
      </c>
      <c r="D544" s="120">
        <v>27</v>
      </c>
      <c r="E544" s="183" t="s">
        <v>125</v>
      </c>
      <c r="F544" s="56">
        <v>57</v>
      </c>
      <c r="G544" s="184"/>
    </row>
    <row r="545" spans="2:7" x14ac:dyDescent="0.25">
      <c r="B545" s="184"/>
      <c r="C545" s="29" t="s">
        <v>76</v>
      </c>
      <c r="D545" s="186">
        <f>IFERROR(VLOOKUP(D544,'DATOS REGISTRADOS'!B:Q,16,FALSE)," ")</f>
        <v>15</v>
      </c>
      <c r="E545" s="30" t="s">
        <v>78</v>
      </c>
      <c r="F545" s="31">
        <v>43598</v>
      </c>
      <c r="G545" s="184"/>
    </row>
    <row r="546" spans="2:7" x14ac:dyDescent="0.25">
      <c r="B546" s="256" t="s">
        <v>79</v>
      </c>
      <c r="C546" s="256"/>
      <c r="D546" s="256"/>
      <c r="E546" s="256"/>
      <c r="F546" s="256"/>
      <c r="G546" s="256"/>
    </row>
    <row r="547" spans="2:7" x14ac:dyDescent="0.25">
      <c r="B547" s="183" t="s">
        <v>80</v>
      </c>
      <c r="C547" s="257" t="str">
        <f>IFERROR(VLOOKUP(D544,'DATOS REGISTRADOS'!B:C,2,FALSE)," ")</f>
        <v>Eugenio Julio Benavides</v>
      </c>
      <c r="D547" s="257"/>
      <c r="E547" s="258"/>
      <c r="F547" s="258"/>
      <c r="G547" s="258"/>
    </row>
    <row r="548" spans="2:7" x14ac:dyDescent="0.25">
      <c r="B548" s="185" t="s">
        <v>81</v>
      </c>
      <c r="C548" s="259" t="str">
        <f>IFERROR(VLOOKUP(D544,'DATOS REGISTRADOS'!B:Q,3,FALSE)," ")</f>
        <v>Río Coatzacoalcos #837 col pueblo nuevo 5 sector</v>
      </c>
      <c r="D548" s="260"/>
      <c r="E548" s="35" t="s">
        <v>82</v>
      </c>
      <c r="F548" s="261" t="str">
        <f>IFERROR(VLOOKUP(D544,'DATOS REGISTRADOS'!B:Q,7,FALSE)," ")</f>
        <v>8181451033 y 8122100290</v>
      </c>
      <c r="G548" s="261"/>
    </row>
    <row r="549" spans="2:7" x14ac:dyDescent="0.25">
      <c r="B549" s="184"/>
      <c r="C549" s="243" t="str">
        <f>IFERROR(VLOOKUP(D544,'DATOS REGISTRADOS'!B:Q,4,FALSE)," ")</f>
        <v>Entre ríos oro y río aconagua</v>
      </c>
      <c r="D549" s="244"/>
      <c r="E549" s="184">
        <f>IFERROR(VLOOKUP(D544,'DATOS REGISTRADOS'!B:Q,16,FALSE)," ")</f>
        <v>15</v>
      </c>
      <c r="F549" s="184">
        <f>IFERROR(VLOOKUP(E549,'DATOS REGISTRADOS'!B:Q,16,FALSE)," ")</f>
        <v>11</v>
      </c>
      <c r="G549" s="184">
        <f>IFERROR(VLOOKUP(F549,'DATOS REGISTRADOS'!B:Q,16,FALSE)," ")</f>
        <v>10</v>
      </c>
    </row>
    <row r="550" spans="2:7" x14ac:dyDescent="0.25">
      <c r="B550" s="184"/>
      <c r="C550" s="66" t="str">
        <f>IFERROR(VLOOKUP(D544,'DATOS REGISTRADOS'!B:Q,5,FALSE)," ")</f>
        <v>Apodaca Nuevo Leon</v>
      </c>
      <c r="D550" s="67">
        <f>IFERROR(VLOOKUP(D544,'DATOS REGISTRADOS'!B:Q,6,FALSE)," ")</f>
        <v>66646</v>
      </c>
      <c r="E550" s="184" t="s">
        <v>373</v>
      </c>
      <c r="F550" s="184" t="s">
        <v>374</v>
      </c>
      <c r="G550" s="184" t="s">
        <v>375</v>
      </c>
    </row>
    <row r="551" spans="2:7" x14ac:dyDescent="0.25">
      <c r="B551" s="256" t="s">
        <v>83</v>
      </c>
      <c r="C551" s="262"/>
      <c r="D551" s="262"/>
      <c r="E551" s="256"/>
      <c r="F551" s="256"/>
      <c r="G551" s="256"/>
    </row>
    <row r="552" spans="2:7" x14ac:dyDescent="0.25">
      <c r="B552" s="183" t="s">
        <v>84</v>
      </c>
      <c r="C552" s="249" t="s">
        <v>85</v>
      </c>
      <c r="D552" s="249"/>
      <c r="E552" s="183" t="s">
        <v>86</v>
      </c>
      <c r="F552" s="183" t="s">
        <v>87</v>
      </c>
      <c r="G552" s="183" t="s">
        <v>57</v>
      </c>
    </row>
    <row r="553" spans="2:7" x14ac:dyDescent="0.25">
      <c r="B553" s="120" t="s">
        <v>126</v>
      </c>
      <c r="C553" s="241" t="str">
        <f>IFERROR(VLOOKUP(B553,'Productos '!B:C,2,FALSE)," ")</f>
        <v>Recompra 1 Activador Celular</v>
      </c>
      <c r="D553" s="242"/>
      <c r="E553" s="120">
        <v>1</v>
      </c>
      <c r="F553" s="40">
        <f>IFERROR(VLOOKUP(B553,'Productos '!B:G,3,FALSE)," ")</f>
        <v>431.0344827586207</v>
      </c>
      <c r="G553" s="40">
        <f>IFERROR((F553*E553)," ")</f>
        <v>431.0344827586207</v>
      </c>
    </row>
    <row r="554" spans="2:7" x14ac:dyDescent="0.25">
      <c r="B554" s="120" t="s">
        <v>323</v>
      </c>
      <c r="C554" s="241" t="str">
        <f>IFERROR(VLOOKUP(B554,'Productos '!B:C,2,FALSE)," ")</f>
        <v>Promoción ActiCell</v>
      </c>
      <c r="D554" s="242"/>
      <c r="E554" s="120">
        <v>3</v>
      </c>
      <c r="F554" s="40">
        <f>IFERROR(VLOOKUP(B554,'Productos '!B:G,3,FALSE)," ")</f>
        <v>301.72413793103448</v>
      </c>
      <c r="G554" s="40">
        <f t="shared" ref="G554:G559" si="20">IFERROR((F554*E554)," ")</f>
        <v>905.17241379310349</v>
      </c>
    </row>
    <row r="555" spans="2:7" x14ac:dyDescent="0.25">
      <c r="B555" s="120" t="s">
        <v>321</v>
      </c>
      <c r="C555" s="241" t="str">
        <f>IFERROR(VLOOKUP(B555,'Productos '!B:C,2,FALSE)," ")</f>
        <v>Envio</v>
      </c>
      <c r="D555" s="242"/>
      <c r="E555" s="120">
        <v>1</v>
      </c>
      <c r="F555" s="40">
        <f>IFERROR(VLOOKUP(B555,'Productos '!B:G,3,FALSE)," ")</f>
        <v>103.44827586206897</v>
      </c>
      <c r="G555" s="40">
        <f t="shared" si="20"/>
        <v>103.44827586206897</v>
      </c>
    </row>
    <row r="556" spans="2:7" x14ac:dyDescent="0.25">
      <c r="B556" s="120"/>
      <c r="C556" s="241" t="str">
        <f>IFERROR(VLOOKUP(B556,'Productos '!B:C,2,FALSE)," ")</f>
        <v xml:space="preserve"> </v>
      </c>
      <c r="D556" s="242"/>
      <c r="E556" s="120"/>
      <c r="F556" s="40" t="str">
        <f>IFERROR(VLOOKUP(B556,'Productos '!B:G,3,FALSE)," ")</f>
        <v xml:space="preserve"> </v>
      </c>
      <c r="G556" s="40" t="str">
        <f t="shared" si="20"/>
        <v xml:space="preserve"> </v>
      </c>
    </row>
    <row r="557" spans="2:7" x14ac:dyDescent="0.25">
      <c r="B557" s="120"/>
      <c r="C557" s="241" t="str">
        <f>IFERROR(VLOOKUP(B557,'Productos '!B:C,2,FALSE)," ")</f>
        <v xml:space="preserve"> </v>
      </c>
      <c r="D557" s="242"/>
      <c r="E557" s="120"/>
      <c r="F557" s="40" t="str">
        <f>IFERROR(VLOOKUP(B557,'Productos '!B:G,3,FALSE)," ")</f>
        <v xml:space="preserve"> </v>
      </c>
      <c r="G557" s="40" t="str">
        <f t="shared" si="20"/>
        <v xml:space="preserve"> </v>
      </c>
    </row>
    <row r="558" spans="2:7" x14ac:dyDescent="0.25">
      <c r="B558" s="120"/>
      <c r="C558" s="241" t="str">
        <f>IFERROR(VLOOKUP(B558,'Productos '!B:C,2,FALSE)," ")</f>
        <v xml:space="preserve"> </v>
      </c>
      <c r="D558" s="242"/>
      <c r="E558" s="120"/>
      <c r="F558" s="40" t="str">
        <f>IFERROR(VLOOKUP(B558,'Productos '!B:G,3,FALSE)," ")</f>
        <v xml:space="preserve"> </v>
      </c>
      <c r="G558" s="40" t="str">
        <f t="shared" si="20"/>
        <v xml:space="preserve"> </v>
      </c>
    </row>
    <row r="559" spans="2:7" x14ac:dyDescent="0.25">
      <c r="B559" s="120"/>
      <c r="C559" s="241" t="str">
        <f>IFERROR(VLOOKUP(B559,'Productos '!B:C,2,FALSE)," ")</f>
        <v xml:space="preserve"> </v>
      </c>
      <c r="D559" s="242"/>
      <c r="E559" s="120"/>
      <c r="F559" s="40" t="str">
        <f>IFERROR(VLOOKUP(B559,'Productos '!B:G,3,FALSE)," ")</f>
        <v xml:space="preserve"> </v>
      </c>
      <c r="G559" s="40" t="str">
        <f t="shared" si="20"/>
        <v xml:space="preserve"> </v>
      </c>
    </row>
    <row r="560" spans="2:7" x14ac:dyDescent="0.25">
      <c r="B560" s="184"/>
      <c r="C560" s="253" t="s">
        <v>88</v>
      </c>
      <c r="D560" s="254"/>
      <c r="E560" s="38">
        <f>SUM(E553:E559)</f>
        <v>5</v>
      </c>
      <c r="F560" s="183" t="s">
        <v>89</v>
      </c>
      <c r="G560" s="40">
        <f>SUM(G553:G559)</f>
        <v>1439.6551724137933</v>
      </c>
    </row>
    <row r="561" spans="2:7" x14ac:dyDescent="0.25">
      <c r="B561" s="184"/>
      <c r="C561" s="184"/>
      <c r="D561" s="184"/>
      <c r="E561" s="184"/>
      <c r="F561" s="183" t="s">
        <v>90</v>
      </c>
      <c r="G561" s="40">
        <f>G560*16%</f>
        <v>230.34482758620692</v>
      </c>
    </row>
    <row r="562" spans="2:7" x14ac:dyDescent="0.25">
      <c r="B562" s="183" t="s">
        <v>91</v>
      </c>
      <c r="C562" s="241" t="str">
        <f>IFERROR(VLOOKUP(D544,'DATOS REGISTRADOS'!B:R,17,FALSE)," ")</f>
        <v>Celia Salazar Soto</v>
      </c>
      <c r="D562" s="252"/>
      <c r="E562" s="242"/>
      <c r="F562" s="183" t="s">
        <v>57</v>
      </c>
      <c r="G562" s="68">
        <f>SUM(G560:G561)</f>
        <v>1670.0000000000002</v>
      </c>
    </row>
    <row r="563" spans="2:7" x14ac:dyDescent="0.25">
      <c r="B563" s="245" t="s">
        <v>343</v>
      </c>
      <c r="C563" s="245"/>
      <c r="D563" s="245"/>
      <c r="E563" s="245"/>
      <c r="F563" s="245"/>
      <c r="G563" s="245"/>
    </row>
    <row r="564" spans="2:7" x14ac:dyDescent="0.25">
      <c r="B564" s="246" t="s">
        <v>124</v>
      </c>
      <c r="C564" s="247"/>
      <c r="D564" s="247"/>
      <c r="E564" s="247"/>
      <c r="F564" s="247"/>
      <c r="G564" s="248"/>
    </row>
    <row r="565" spans="2:7" x14ac:dyDescent="0.25">
      <c r="B565" s="54" t="s">
        <v>123</v>
      </c>
      <c r="C565" s="182"/>
      <c r="D565" s="245" t="s">
        <v>128</v>
      </c>
      <c r="E565" s="245"/>
      <c r="F565" s="245"/>
      <c r="G565" s="245"/>
    </row>
    <row r="568" spans="2:7" x14ac:dyDescent="0.25">
      <c r="B568" s="178" t="s">
        <v>380</v>
      </c>
      <c r="C568" s="178"/>
      <c r="D568" s="178"/>
      <c r="E568" s="178"/>
      <c r="F568" s="178"/>
      <c r="G568" s="178"/>
    </row>
    <row r="569" spans="2:7" x14ac:dyDescent="0.25">
      <c r="B569" s="178"/>
      <c r="C569" s="250" t="s">
        <v>22</v>
      </c>
      <c r="D569" s="250"/>
      <c r="E569" s="42"/>
      <c r="F569" s="250"/>
      <c r="G569" s="250"/>
    </row>
    <row r="570" spans="2:7" x14ac:dyDescent="0.25">
      <c r="B570" s="178"/>
      <c r="C570" s="251"/>
      <c r="D570" s="251"/>
      <c r="E570" s="178"/>
      <c r="F570" s="43"/>
      <c r="G570" s="178"/>
    </row>
    <row r="571" spans="2:7" x14ac:dyDescent="0.25">
      <c r="B571" s="178"/>
      <c r="C571" s="27" t="s">
        <v>77</v>
      </c>
      <c r="D571" s="120">
        <v>11</v>
      </c>
      <c r="E571" s="180" t="s">
        <v>125</v>
      </c>
      <c r="F571" s="56">
        <v>56</v>
      </c>
      <c r="G571" s="178"/>
    </row>
    <row r="572" spans="2:7" x14ac:dyDescent="0.25">
      <c r="B572" s="178"/>
      <c r="C572" s="29" t="s">
        <v>76</v>
      </c>
      <c r="D572" s="177">
        <f>IFERROR(VLOOKUP(D571,'DATOS REGISTRADOS'!B:Q,16,FALSE)," ")</f>
        <v>10</v>
      </c>
      <c r="E572" s="30" t="s">
        <v>78</v>
      </c>
      <c r="F572" s="31">
        <v>43592</v>
      </c>
      <c r="G572" s="178"/>
    </row>
    <row r="573" spans="2:7" x14ac:dyDescent="0.25">
      <c r="B573" s="256" t="s">
        <v>79</v>
      </c>
      <c r="C573" s="256"/>
      <c r="D573" s="256"/>
      <c r="E573" s="256"/>
      <c r="F573" s="256"/>
      <c r="G573" s="256"/>
    </row>
    <row r="574" spans="2:7" x14ac:dyDescent="0.25">
      <c r="B574" s="180" t="s">
        <v>80</v>
      </c>
      <c r="C574" s="257" t="str">
        <f>IFERROR(VLOOKUP(D571,'DATOS REGISTRADOS'!B:C,2,FALSE)," ")</f>
        <v>Silvano Cavazos Salazar</v>
      </c>
      <c r="D574" s="257"/>
      <c r="E574" s="258"/>
      <c r="F574" s="258"/>
      <c r="G574" s="258"/>
    </row>
    <row r="575" spans="2:7" x14ac:dyDescent="0.25">
      <c r="B575" s="181" t="s">
        <v>81</v>
      </c>
      <c r="C575" s="259" t="str">
        <f>IFERROR(VLOOKUP(D571,'DATOS REGISTRADOS'!B:Q,3,FALSE)," ")</f>
        <v>Carolina #436</v>
      </c>
      <c r="D575" s="260"/>
      <c r="E575" s="35" t="s">
        <v>82</v>
      </c>
      <c r="F575" s="261" t="str">
        <f>IFERROR(VLOOKUP(D571,'DATOS REGISTRADOS'!B:Q,7,FALSE)," ")</f>
        <v>wp 81-23-71-31-11</v>
      </c>
      <c r="G575" s="261"/>
    </row>
    <row r="576" spans="2:7" x14ac:dyDescent="0.25">
      <c r="B576" s="178"/>
      <c r="C576" s="243" t="str">
        <f>IFERROR(VLOOKUP(D571,'DATOS REGISTRADOS'!B:Q,4,FALSE)," ")</f>
        <v>Los pinceles, Apocada, NL</v>
      </c>
      <c r="D576" s="244"/>
      <c r="E576" s="178">
        <f>IFERROR(VLOOKUP(D571,'DATOS REGISTRADOS'!B:Q,16,FALSE)," ")</f>
        <v>10</v>
      </c>
      <c r="F576" s="178">
        <f>IFERROR(VLOOKUP(E576,'DATOS REGISTRADOS'!B:Q,16,FALSE)," ")</f>
        <v>1</v>
      </c>
      <c r="G576" s="178">
        <f>IFERROR(VLOOKUP(F576,'DATOS REGISTRADOS'!B:Q,16,FALSE)," ")</f>
        <v>1</v>
      </c>
    </row>
    <row r="577" spans="2:7" x14ac:dyDescent="0.25">
      <c r="B577" s="178"/>
      <c r="C577" s="66" t="str">
        <f>IFERROR(VLOOKUP(D571,'DATOS REGISTRADOS'!B:Q,5,FALSE)," ")</f>
        <v>Nuevo León</v>
      </c>
      <c r="D577" s="67">
        <f>IFERROR(VLOOKUP(D571,'DATOS REGISTRADOS'!B:Q,6,FALSE)," ")</f>
        <v>66647</v>
      </c>
      <c r="E577" s="178" t="s">
        <v>373</v>
      </c>
      <c r="F577" s="178" t="s">
        <v>374</v>
      </c>
      <c r="G577" s="178" t="s">
        <v>375</v>
      </c>
    </row>
    <row r="578" spans="2:7" x14ac:dyDescent="0.25">
      <c r="B578" s="256" t="s">
        <v>83</v>
      </c>
      <c r="C578" s="262"/>
      <c r="D578" s="262"/>
      <c r="E578" s="256"/>
      <c r="F578" s="256"/>
      <c r="G578" s="256"/>
    </row>
    <row r="579" spans="2:7" x14ac:dyDescent="0.25">
      <c r="B579" s="180" t="s">
        <v>84</v>
      </c>
      <c r="C579" s="249" t="s">
        <v>85</v>
      </c>
      <c r="D579" s="249"/>
      <c r="E579" s="180" t="s">
        <v>86</v>
      </c>
      <c r="F579" s="180" t="s">
        <v>87</v>
      </c>
      <c r="G579" s="180" t="s">
        <v>57</v>
      </c>
    </row>
    <row r="580" spans="2:7" x14ac:dyDescent="0.25">
      <c r="B580" s="120" t="s">
        <v>126</v>
      </c>
      <c r="C580" s="241" t="str">
        <f>IFERROR(VLOOKUP(B580,'Productos '!B:C,2,FALSE)," ")</f>
        <v>Recompra 1 Activador Celular</v>
      </c>
      <c r="D580" s="242"/>
      <c r="E580" s="120">
        <v>1</v>
      </c>
      <c r="F580" s="40">
        <f>IFERROR(VLOOKUP(B580,'Productos '!B:G,3,FALSE)," ")</f>
        <v>431.0344827586207</v>
      </c>
      <c r="G580" s="40">
        <f>IFERROR((F580*E580)," ")</f>
        <v>431.0344827586207</v>
      </c>
    </row>
    <row r="581" spans="2:7" x14ac:dyDescent="0.25">
      <c r="B581" s="120" t="s">
        <v>323</v>
      </c>
      <c r="C581" s="241" t="str">
        <f>IFERROR(VLOOKUP(B581,'Productos '!B:C,2,FALSE)," ")</f>
        <v>Promoción ActiCell</v>
      </c>
      <c r="D581" s="242"/>
      <c r="E581" s="120">
        <v>2</v>
      </c>
      <c r="F581" s="40">
        <f>IFERROR(VLOOKUP(B581,'Productos '!B:G,3,FALSE)," ")</f>
        <v>301.72413793103448</v>
      </c>
      <c r="G581" s="40">
        <f t="shared" ref="G581:G586" si="21">IFERROR((F581*E581)," ")</f>
        <v>603.44827586206895</v>
      </c>
    </row>
    <row r="582" spans="2:7" x14ac:dyDescent="0.25">
      <c r="B582" s="120" t="s">
        <v>326</v>
      </c>
      <c r="C582" s="241" t="str">
        <f>IFERROR(VLOOKUP(B582,'Productos '!B:C,2,FALSE)," ")</f>
        <v>Promoción 3cremas</v>
      </c>
      <c r="D582" s="242"/>
      <c r="E582" s="120">
        <v>1</v>
      </c>
      <c r="F582" s="40">
        <f>IFERROR(VLOOKUP(B582,'Productos '!B:G,3,FALSE)," ")</f>
        <v>362.06896551724139</v>
      </c>
      <c r="G582" s="40">
        <f t="shared" si="21"/>
        <v>362.06896551724139</v>
      </c>
    </row>
    <row r="583" spans="2:7" x14ac:dyDescent="0.25">
      <c r="B583" s="120" t="s">
        <v>321</v>
      </c>
      <c r="C583" s="241" t="str">
        <f>IFERROR(VLOOKUP(B583,'Productos '!B:C,2,FALSE)," ")</f>
        <v>Envio</v>
      </c>
      <c r="D583" s="242"/>
      <c r="E583" s="120">
        <v>2</v>
      </c>
      <c r="F583" s="40">
        <f>IFERROR(VLOOKUP(B583,'Productos '!B:G,3,FALSE)," ")</f>
        <v>103.44827586206897</v>
      </c>
      <c r="G583" s="40">
        <f t="shared" si="21"/>
        <v>206.89655172413794</v>
      </c>
    </row>
    <row r="584" spans="2:7" x14ac:dyDescent="0.25">
      <c r="B584" s="120"/>
      <c r="C584" s="241" t="str">
        <f>IFERROR(VLOOKUP(B584,'Productos '!B:C,2,FALSE)," ")</f>
        <v xml:space="preserve"> </v>
      </c>
      <c r="D584" s="242"/>
      <c r="E584" s="120"/>
      <c r="F584" s="40" t="str">
        <f>IFERROR(VLOOKUP(B584,'Productos '!B:G,3,FALSE)," ")</f>
        <v xml:space="preserve"> </v>
      </c>
      <c r="G584" s="40" t="str">
        <f t="shared" si="21"/>
        <v xml:space="preserve"> </v>
      </c>
    </row>
    <row r="585" spans="2:7" x14ac:dyDescent="0.25">
      <c r="B585" s="120"/>
      <c r="C585" s="241" t="str">
        <f>IFERROR(VLOOKUP(B585,'Productos '!B:C,2,FALSE)," ")</f>
        <v xml:space="preserve"> </v>
      </c>
      <c r="D585" s="242"/>
      <c r="E585" s="120"/>
      <c r="F585" s="40" t="str">
        <f>IFERROR(VLOOKUP(B585,'Productos '!B:G,3,FALSE)," ")</f>
        <v xml:space="preserve"> </v>
      </c>
      <c r="G585" s="40" t="str">
        <f t="shared" si="21"/>
        <v xml:space="preserve"> </v>
      </c>
    </row>
    <row r="586" spans="2:7" x14ac:dyDescent="0.25">
      <c r="B586" s="120"/>
      <c r="C586" s="241" t="str">
        <f>IFERROR(VLOOKUP(B586,'Productos '!B:C,2,FALSE)," ")</f>
        <v xml:space="preserve"> </v>
      </c>
      <c r="D586" s="242"/>
      <c r="E586" s="120"/>
      <c r="F586" s="40" t="str">
        <f>IFERROR(VLOOKUP(B586,'Productos '!B:G,3,FALSE)," ")</f>
        <v xml:space="preserve"> </v>
      </c>
      <c r="G586" s="40" t="str">
        <f t="shared" si="21"/>
        <v xml:space="preserve"> </v>
      </c>
    </row>
    <row r="587" spans="2:7" x14ac:dyDescent="0.25">
      <c r="B587" s="178"/>
      <c r="C587" s="253" t="s">
        <v>88</v>
      </c>
      <c r="D587" s="254"/>
      <c r="E587" s="38">
        <f>SUM(E580:E586)</f>
        <v>6</v>
      </c>
      <c r="F587" s="180" t="s">
        <v>89</v>
      </c>
      <c r="G587" s="40">
        <f>SUM(G580:G586)</f>
        <v>1603.4482758620691</v>
      </c>
    </row>
    <row r="588" spans="2:7" x14ac:dyDescent="0.25">
      <c r="B588" s="178"/>
      <c r="C588" s="178"/>
      <c r="D588" s="178"/>
      <c r="E588" s="178"/>
      <c r="F588" s="180" t="s">
        <v>90</v>
      </c>
      <c r="G588" s="40">
        <f>G587*16%</f>
        <v>256.55172413793105</v>
      </c>
    </row>
    <row r="589" spans="2:7" x14ac:dyDescent="0.25">
      <c r="B589" s="180" t="s">
        <v>91</v>
      </c>
      <c r="C589" s="241" t="str">
        <f>IFERROR(VLOOKUP(D571,'DATOS REGISTRADOS'!B:R,17,FALSE)," ")</f>
        <v>Héctor Salamanca Salamanca</v>
      </c>
      <c r="D589" s="252"/>
      <c r="E589" s="242"/>
      <c r="F589" s="180" t="s">
        <v>57</v>
      </c>
      <c r="G589" s="68">
        <f>SUM(G587:G588)</f>
        <v>1860</v>
      </c>
    </row>
    <row r="590" spans="2:7" x14ac:dyDescent="0.25">
      <c r="B590" s="245" t="s">
        <v>343</v>
      </c>
      <c r="C590" s="245"/>
      <c r="D590" s="245"/>
      <c r="E590" s="245"/>
      <c r="F590" s="245"/>
      <c r="G590" s="245"/>
    </row>
    <row r="591" spans="2:7" x14ac:dyDescent="0.25">
      <c r="B591" s="246" t="s">
        <v>124</v>
      </c>
      <c r="C591" s="247"/>
      <c r="D591" s="247"/>
      <c r="E591" s="247"/>
      <c r="F591" s="247"/>
      <c r="G591" s="248"/>
    </row>
    <row r="592" spans="2:7" x14ac:dyDescent="0.25">
      <c r="B592" s="54" t="s">
        <v>123</v>
      </c>
      <c r="C592" s="179"/>
      <c r="D592" s="245" t="s">
        <v>128</v>
      </c>
      <c r="E592" s="245"/>
      <c r="F592" s="245"/>
      <c r="G592" s="245"/>
    </row>
    <row r="595" spans="2:7" x14ac:dyDescent="0.25">
      <c r="B595" s="174"/>
      <c r="C595" s="174"/>
      <c r="D595" s="174"/>
      <c r="E595" s="174"/>
      <c r="F595" s="174"/>
      <c r="G595" s="174"/>
    </row>
    <row r="596" spans="2:7" x14ac:dyDescent="0.25">
      <c r="B596" s="174"/>
      <c r="C596" s="250" t="s">
        <v>22</v>
      </c>
      <c r="D596" s="250"/>
      <c r="E596" s="42"/>
      <c r="F596" s="250"/>
      <c r="G596" s="250"/>
    </row>
    <row r="597" spans="2:7" x14ac:dyDescent="0.25">
      <c r="B597" s="174"/>
      <c r="C597" s="251"/>
      <c r="D597" s="251"/>
      <c r="E597" s="174"/>
      <c r="F597" s="43"/>
      <c r="G597" s="174"/>
    </row>
    <row r="598" spans="2:7" x14ac:dyDescent="0.25">
      <c r="B598" s="174"/>
      <c r="C598" s="27" t="s">
        <v>77</v>
      </c>
      <c r="D598" s="120">
        <v>15</v>
      </c>
      <c r="E598" s="173" t="s">
        <v>125</v>
      </c>
      <c r="F598" s="56">
        <v>55</v>
      </c>
      <c r="G598" s="174"/>
    </row>
    <row r="599" spans="2:7" x14ac:dyDescent="0.25">
      <c r="B599" s="174"/>
      <c r="C599" s="29" t="s">
        <v>76</v>
      </c>
      <c r="D599" s="176">
        <f>IFERROR(VLOOKUP(D598,'DATOS REGISTRADOS'!B:Q,16,FALSE)," ")</f>
        <v>11</v>
      </c>
      <c r="E599" s="30" t="s">
        <v>78</v>
      </c>
      <c r="F599" s="31">
        <v>43591</v>
      </c>
      <c r="G599" s="174"/>
    </row>
    <row r="600" spans="2:7" x14ac:dyDescent="0.25">
      <c r="B600" s="256" t="s">
        <v>79</v>
      </c>
      <c r="C600" s="256"/>
      <c r="D600" s="256"/>
      <c r="E600" s="256"/>
      <c r="F600" s="256"/>
      <c r="G600" s="256"/>
    </row>
    <row r="601" spans="2:7" x14ac:dyDescent="0.25">
      <c r="B601" s="173" t="s">
        <v>80</v>
      </c>
      <c r="C601" s="257" t="str">
        <f>IFERROR(VLOOKUP(D598,'DATOS REGISTRADOS'!B:C,2,FALSE)," ")</f>
        <v>Celia Salazar Soto</v>
      </c>
      <c r="D601" s="257"/>
      <c r="E601" s="258"/>
      <c r="F601" s="258"/>
      <c r="G601" s="258"/>
    </row>
    <row r="602" spans="2:7" x14ac:dyDescent="0.25">
      <c r="B602" s="175" t="s">
        <v>81</v>
      </c>
      <c r="C602" s="259" t="str">
        <f>IFERROR(VLOOKUP(D598,'DATOS REGISTRADOS'!B:Q,3,FALSE)," ")</f>
        <v>Martha332</v>
      </c>
      <c r="D602" s="260"/>
      <c r="E602" s="35" t="s">
        <v>82</v>
      </c>
      <c r="F602" s="261" t="str">
        <f>IFERROR(VLOOKUP(D598,'DATOS REGISTRADOS'!B:Q,7,FALSE)," ")</f>
        <v>81)88809050</v>
      </c>
      <c r="G602" s="261"/>
    </row>
    <row r="603" spans="2:7" x14ac:dyDescent="0.25">
      <c r="B603" s="174"/>
      <c r="C603" s="243" t="str">
        <f>IFERROR(VLOOKUP(D598,'DATOS REGISTRADOS'!B:Q,4,FALSE)," ")</f>
        <v>Colonia los candiles, Apodaca</v>
      </c>
      <c r="D603" s="244"/>
      <c r="E603" s="174"/>
      <c r="F603" s="174" t="str">
        <f>IFERROR(VLOOKUP(E603,'DATOS REGISTRADOS'!B:Q,16,FALSE)," ")</f>
        <v xml:space="preserve"> </v>
      </c>
      <c r="G603" s="174" t="str">
        <f>IFERROR(VLOOKUP(F603,'DATOS REGISTRADOS'!B:Q,16,FALSE)," ")</f>
        <v xml:space="preserve"> </v>
      </c>
    </row>
    <row r="604" spans="2:7" x14ac:dyDescent="0.25">
      <c r="B604" s="174"/>
      <c r="C604" s="66" t="str">
        <f>IFERROR(VLOOKUP(D598,'DATOS REGISTRADOS'!B:Q,5,FALSE)," ")</f>
        <v>Nuevo León</v>
      </c>
      <c r="D604" s="67">
        <f>IFERROR(VLOOKUP(D598,'DATOS REGISTRADOS'!B:Q,6,FALSE)," ")</f>
        <v>0</v>
      </c>
      <c r="E604" s="174"/>
      <c r="F604" s="174"/>
      <c r="G604" s="174"/>
    </row>
    <row r="605" spans="2:7" x14ac:dyDescent="0.25">
      <c r="B605" s="256" t="s">
        <v>83</v>
      </c>
      <c r="C605" s="262"/>
      <c r="D605" s="262"/>
      <c r="E605" s="256"/>
      <c r="F605" s="256"/>
      <c r="G605" s="256"/>
    </row>
    <row r="606" spans="2:7" x14ac:dyDescent="0.25">
      <c r="B606" s="173" t="s">
        <v>84</v>
      </c>
      <c r="C606" s="249" t="s">
        <v>85</v>
      </c>
      <c r="D606" s="249"/>
      <c r="E606" s="173" t="s">
        <v>86</v>
      </c>
      <c r="F606" s="173" t="s">
        <v>87</v>
      </c>
      <c r="G606" s="173" t="s">
        <v>57</v>
      </c>
    </row>
    <row r="607" spans="2:7" x14ac:dyDescent="0.25">
      <c r="B607" s="120" t="s">
        <v>377</v>
      </c>
      <c r="C607" s="241" t="str">
        <f>IFERROR(VLOOKUP(B607,'Productos '!B:C,2,FALSE)," ")</f>
        <v>Reposición de producto</v>
      </c>
      <c r="D607" s="242"/>
      <c r="E607" s="120">
        <v>25</v>
      </c>
      <c r="F607" s="40">
        <f>IFERROR(VLOOKUP(B607,'Productos '!B:G,3,FALSE)," ")</f>
        <v>0</v>
      </c>
      <c r="G607" s="40">
        <f>IFERROR((F607*E607)," ")</f>
        <v>0</v>
      </c>
    </row>
    <row r="608" spans="2:7" x14ac:dyDescent="0.25">
      <c r="B608" s="120"/>
      <c r="C608" s="241" t="str">
        <f>IFERROR(VLOOKUP(B608,'Productos '!B:C,2,FALSE)," ")</f>
        <v xml:space="preserve"> </v>
      </c>
      <c r="D608" s="242"/>
      <c r="E608" s="120"/>
      <c r="F608" s="40" t="str">
        <f>IFERROR(VLOOKUP(B608,'Productos '!B:G,3,FALSE)," ")</f>
        <v xml:space="preserve"> </v>
      </c>
      <c r="G608" s="40" t="str">
        <f t="shared" ref="G608:G613" si="22">IFERROR((F608*E608)," ")</f>
        <v xml:space="preserve"> </v>
      </c>
    </row>
    <row r="609" spans="2:7" x14ac:dyDescent="0.25">
      <c r="B609" s="120"/>
      <c r="C609" s="241" t="str">
        <f>IFERROR(VLOOKUP(B609,'Productos '!B:C,2,FALSE)," ")</f>
        <v xml:space="preserve"> </v>
      </c>
      <c r="D609" s="242"/>
      <c r="E609" s="120"/>
      <c r="F609" s="40" t="str">
        <f>IFERROR(VLOOKUP(B609,'Productos '!B:G,3,FALSE)," ")</f>
        <v xml:space="preserve"> </v>
      </c>
      <c r="G609" s="40" t="str">
        <f t="shared" si="22"/>
        <v xml:space="preserve"> </v>
      </c>
    </row>
    <row r="610" spans="2:7" x14ac:dyDescent="0.25">
      <c r="B610" s="120"/>
      <c r="C610" s="241" t="str">
        <f>IFERROR(VLOOKUP(B610,'Productos '!B:C,2,FALSE)," ")</f>
        <v xml:space="preserve"> </v>
      </c>
      <c r="D610" s="242"/>
      <c r="E610" s="120"/>
      <c r="F610" s="40" t="str">
        <f>IFERROR(VLOOKUP(B610,'Productos '!B:G,3,FALSE)," ")</f>
        <v xml:space="preserve"> </v>
      </c>
      <c r="G610" s="40" t="str">
        <f t="shared" si="22"/>
        <v xml:space="preserve"> </v>
      </c>
    </row>
    <row r="611" spans="2:7" x14ac:dyDescent="0.25">
      <c r="B611" s="120"/>
      <c r="C611" s="241" t="str">
        <f>IFERROR(VLOOKUP(B611,'Productos '!B:C,2,FALSE)," ")</f>
        <v xml:space="preserve"> </v>
      </c>
      <c r="D611" s="242"/>
      <c r="E611" s="120"/>
      <c r="F611" s="40" t="str">
        <f>IFERROR(VLOOKUP(B611,'Productos '!B:G,3,FALSE)," ")</f>
        <v xml:space="preserve"> </v>
      </c>
      <c r="G611" s="40" t="str">
        <f t="shared" si="22"/>
        <v xml:space="preserve"> </v>
      </c>
    </row>
    <row r="612" spans="2:7" x14ac:dyDescent="0.25">
      <c r="B612" s="120"/>
      <c r="C612" s="241" t="str">
        <f>IFERROR(VLOOKUP(B612,'Productos '!B:C,2,FALSE)," ")</f>
        <v xml:space="preserve"> </v>
      </c>
      <c r="D612" s="242"/>
      <c r="E612" s="120"/>
      <c r="F612" s="40" t="str">
        <f>IFERROR(VLOOKUP(B612,'Productos '!B:G,3,FALSE)," ")</f>
        <v xml:space="preserve"> </v>
      </c>
      <c r="G612" s="40" t="str">
        <f t="shared" si="22"/>
        <v xml:space="preserve"> </v>
      </c>
    </row>
    <row r="613" spans="2:7" x14ac:dyDescent="0.25">
      <c r="B613" s="120"/>
      <c r="C613" s="241" t="str">
        <f>IFERROR(VLOOKUP(B613,'Productos '!B:C,2,FALSE)," ")</f>
        <v xml:space="preserve"> </v>
      </c>
      <c r="D613" s="242"/>
      <c r="E613" s="120"/>
      <c r="F613" s="40" t="str">
        <f>IFERROR(VLOOKUP(B613,'Productos '!B:G,3,FALSE)," ")</f>
        <v xml:space="preserve"> </v>
      </c>
      <c r="G613" s="40" t="str">
        <f t="shared" si="22"/>
        <v xml:space="preserve"> </v>
      </c>
    </row>
    <row r="614" spans="2:7" x14ac:dyDescent="0.25">
      <c r="B614" s="174"/>
      <c r="C614" s="253" t="s">
        <v>88</v>
      </c>
      <c r="D614" s="254"/>
      <c r="E614" s="38">
        <f>SUM(E607:E613)</f>
        <v>25</v>
      </c>
      <c r="F614" s="173" t="s">
        <v>89</v>
      </c>
      <c r="G614" s="40">
        <f>SUM(G607:G613)</f>
        <v>0</v>
      </c>
    </row>
    <row r="615" spans="2:7" x14ac:dyDescent="0.25">
      <c r="B615" s="174"/>
      <c r="C615" s="174"/>
      <c r="D615" s="174"/>
      <c r="E615" s="174"/>
      <c r="F615" s="173" t="s">
        <v>90</v>
      </c>
      <c r="G615" s="40">
        <f>G614*16%</f>
        <v>0</v>
      </c>
    </row>
    <row r="616" spans="2:7" x14ac:dyDescent="0.25">
      <c r="B616" s="173" t="s">
        <v>91</v>
      </c>
      <c r="C616" s="241" t="str">
        <f>IFERROR(VLOOKUP(D598,'DATOS REGISTRADOS'!B:R,17,FALSE)," ")</f>
        <v>Silvano Cavazos Salazar</v>
      </c>
      <c r="D616" s="252"/>
      <c r="E616" s="242"/>
      <c r="F616" s="173" t="s">
        <v>57</v>
      </c>
      <c r="G616" s="68">
        <f>SUM(G614:G615)</f>
        <v>0</v>
      </c>
    </row>
    <row r="617" spans="2:7" x14ac:dyDescent="0.25">
      <c r="B617" s="245" t="s">
        <v>343</v>
      </c>
      <c r="C617" s="245"/>
      <c r="D617" s="245"/>
      <c r="E617" s="245"/>
      <c r="F617" s="245"/>
      <c r="G617" s="245"/>
    </row>
    <row r="618" spans="2:7" x14ac:dyDescent="0.25">
      <c r="B618" s="246" t="s">
        <v>124</v>
      </c>
      <c r="C618" s="247"/>
      <c r="D618" s="247"/>
      <c r="E618" s="247"/>
      <c r="F618" s="247"/>
      <c r="G618" s="248"/>
    </row>
    <row r="619" spans="2:7" x14ac:dyDescent="0.25">
      <c r="B619" s="54" t="s">
        <v>123</v>
      </c>
      <c r="C619" s="172"/>
      <c r="D619" s="245" t="s">
        <v>128</v>
      </c>
      <c r="E619" s="245"/>
      <c r="F619" s="245"/>
      <c r="G619" s="245"/>
    </row>
    <row r="622" spans="2:7" x14ac:dyDescent="0.25">
      <c r="B622" s="174"/>
      <c r="C622" s="174"/>
      <c r="D622" s="174"/>
      <c r="E622" s="174"/>
      <c r="F622" s="174"/>
      <c r="G622" s="174"/>
    </row>
    <row r="623" spans="2:7" x14ac:dyDescent="0.25">
      <c r="B623" s="174"/>
      <c r="C623" s="250" t="s">
        <v>22</v>
      </c>
      <c r="D623" s="250"/>
      <c r="E623" s="42"/>
      <c r="F623" s="250"/>
      <c r="G623" s="250"/>
    </row>
    <row r="624" spans="2:7" x14ac:dyDescent="0.25">
      <c r="B624" s="174"/>
      <c r="C624" s="251"/>
      <c r="D624" s="251"/>
      <c r="E624" s="174"/>
      <c r="F624" s="43"/>
      <c r="G624" s="174"/>
    </row>
    <row r="625" spans="2:7" x14ac:dyDescent="0.25">
      <c r="B625" s="174"/>
      <c r="C625" s="27" t="s">
        <v>77</v>
      </c>
      <c r="D625" s="120">
        <v>51</v>
      </c>
      <c r="E625" s="173" t="s">
        <v>125</v>
      </c>
      <c r="F625" s="56">
        <v>54</v>
      </c>
      <c r="G625" s="174"/>
    </row>
    <row r="626" spans="2:7" x14ac:dyDescent="0.25">
      <c r="B626" s="174"/>
      <c r="C626" s="29" t="s">
        <v>76</v>
      </c>
      <c r="D626" s="176">
        <f>IFERROR(VLOOKUP(D625,'DATOS REGISTRADOS'!B:Q,16,FALSE)," ")</f>
        <v>35</v>
      </c>
      <c r="E626" s="30" t="s">
        <v>78</v>
      </c>
      <c r="F626" s="31">
        <v>43589</v>
      </c>
      <c r="G626" s="174"/>
    </row>
    <row r="627" spans="2:7" x14ac:dyDescent="0.25">
      <c r="B627" s="256" t="s">
        <v>79</v>
      </c>
      <c r="C627" s="256"/>
      <c r="D627" s="256"/>
      <c r="E627" s="256"/>
      <c r="F627" s="256"/>
      <c r="G627" s="256"/>
    </row>
    <row r="628" spans="2:7" x14ac:dyDescent="0.25">
      <c r="B628" s="173" t="s">
        <v>80</v>
      </c>
      <c r="C628" s="257" t="str">
        <f>IFERROR(VLOOKUP(D625,'DATOS REGISTRADOS'!B:C,2,FALSE)," ")</f>
        <v>Patricia Malacara Soto</v>
      </c>
      <c r="D628" s="257"/>
      <c r="E628" s="258"/>
      <c r="F628" s="258"/>
      <c r="G628" s="258"/>
    </row>
    <row r="629" spans="2:7" x14ac:dyDescent="0.25">
      <c r="B629" s="175" t="s">
        <v>81</v>
      </c>
      <c r="C629" s="259" t="str">
        <f>IFERROR(VLOOKUP(D625,'DATOS REGISTRADOS'!B:Q,3,FALSE)," ")</f>
        <v>italia #125 entre rumania y suecia en jardines de apodaca</v>
      </c>
      <c r="D629" s="260"/>
      <c r="E629" s="35" t="s">
        <v>82</v>
      </c>
      <c r="F629" s="261">
        <f>IFERROR(VLOOKUP(D625,'DATOS REGISTRADOS'!B:Q,7,FALSE)," ")</f>
        <v>8119598409</v>
      </c>
      <c r="G629" s="261"/>
    </row>
    <row r="630" spans="2:7" x14ac:dyDescent="0.25">
      <c r="B630" s="174"/>
      <c r="C630" s="243" t="str">
        <f>IFERROR(VLOOKUP(D625,'DATOS REGISTRADOS'!B:Q,4,FALSE)," ")</f>
        <v>Apodaca NL</v>
      </c>
      <c r="D630" s="244"/>
      <c r="E630" s="174">
        <f>IFERROR(VLOOKUP(D625,'DATOS REGISTRADOS'!B:Q,16,FALSE)," ")</f>
        <v>35</v>
      </c>
      <c r="F630" s="174">
        <f>IFERROR(VLOOKUP(E630,'DATOS REGISTRADOS'!B:Q,16,FALSE)," ")</f>
        <v>30</v>
      </c>
      <c r="G630" s="174">
        <f>IFERROR(VLOOKUP(F630,'DATOS REGISTRADOS'!B:Q,16,FALSE)," ")</f>
        <v>15</v>
      </c>
    </row>
    <row r="631" spans="2:7" x14ac:dyDescent="0.25">
      <c r="B631" s="174"/>
      <c r="C631" s="66" t="str">
        <f>IFERROR(VLOOKUP(D625,'DATOS REGISTRADOS'!B:Q,5,FALSE)," ")</f>
        <v>NL</v>
      </c>
      <c r="D631" s="67">
        <f>IFERROR(VLOOKUP(D625,'DATOS REGISTRADOS'!B:Q,6,FALSE)," ")</f>
        <v>66635</v>
      </c>
      <c r="E631" s="174" t="s">
        <v>373</v>
      </c>
      <c r="F631" s="174" t="s">
        <v>374</v>
      </c>
      <c r="G631" s="174" t="s">
        <v>375</v>
      </c>
    </row>
    <row r="632" spans="2:7" x14ac:dyDescent="0.25">
      <c r="B632" s="256" t="s">
        <v>83</v>
      </c>
      <c r="C632" s="262"/>
      <c r="D632" s="262"/>
      <c r="E632" s="256"/>
      <c r="F632" s="256"/>
      <c r="G632" s="256"/>
    </row>
    <row r="633" spans="2:7" x14ac:dyDescent="0.25">
      <c r="B633" s="173" t="s">
        <v>84</v>
      </c>
      <c r="C633" s="249" t="s">
        <v>85</v>
      </c>
      <c r="D633" s="249"/>
      <c r="E633" s="173" t="s">
        <v>86</v>
      </c>
      <c r="F633" s="173" t="s">
        <v>87</v>
      </c>
      <c r="G633" s="173" t="s">
        <v>57</v>
      </c>
    </row>
    <row r="634" spans="2:7" x14ac:dyDescent="0.25">
      <c r="B634" s="120" t="s">
        <v>126</v>
      </c>
      <c r="C634" s="241" t="str">
        <f>IFERROR(VLOOKUP(B634,'Productos '!B:C,2,FALSE)," ")</f>
        <v>Recompra 1 Activador Celular</v>
      </c>
      <c r="D634" s="242"/>
      <c r="E634" s="120">
        <v>1</v>
      </c>
      <c r="F634" s="40">
        <f>IFERROR(VLOOKUP(B634,'Productos '!B:G,3,FALSE)," ")</f>
        <v>431.0344827586207</v>
      </c>
      <c r="G634" s="40">
        <f>IFERROR((F634*E634)," ")</f>
        <v>431.0344827586207</v>
      </c>
    </row>
    <row r="635" spans="2:7" x14ac:dyDescent="0.25">
      <c r="B635" s="120" t="s">
        <v>323</v>
      </c>
      <c r="C635" s="241" t="str">
        <f>IFERROR(VLOOKUP(B635,'Productos '!B:C,2,FALSE)," ")</f>
        <v>Promoción ActiCell</v>
      </c>
      <c r="D635" s="242"/>
      <c r="E635" s="120">
        <v>3</v>
      </c>
      <c r="F635" s="40">
        <f>IFERROR(VLOOKUP(B635,'Productos '!B:G,3,FALSE)," ")</f>
        <v>301.72413793103448</v>
      </c>
      <c r="G635" s="40">
        <f t="shared" ref="G635:G640" si="23">IFERROR((F635*E635)," ")</f>
        <v>905.17241379310349</v>
      </c>
    </row>
    <row r="636" spans="2:7" x14ac:dyDescent="0.25">
      <c r="B636" s="120"/>
      <c r="C636" s="241" t="str">
        <f>IFERROR(VLOOKUP(B636,'Productos '!B:C,2,FALSE)," ")</f>
        <v xml:space="preserve"> </v>
      </c>
      <c r="D636" s="242"/>
      <c r="E636" s="120"/>
      <c r="F636" s="40" t="str">
        <f>IFERROR(VLOOKUP(B636,'Productos '!B:G,3,FALSE)," ")</f>
        <v xml:space="preserve"> </v>
      </c>
      <c r="G636" s="40" t="str">
        <f t="shared" si="23"/>
        <v xml:space="preserve"> </v>
      </c>
    </row>
    <row r="637" spans="2:7" x14ac:dyDescent="0.25">
      <c r="B637" s="120"/>
      <c r="C637" s="241" t="str">
        <f>IFERROR(VLOOKUP(B637,'Productos '!B:C,2,FALSE)," ")</f>
        <v xml:space="preserve"> </v>
      </c>
      <c r="D637" s="242"/>
      <c r="E637" s="120"/>
      <c r="F637" s="40" t="str">
        <f>IFERROR(VLOOKUP(B637,'Productos '!B:G,3,FALSE)," ")</f>
        <v xml:space="preserve"> </v>
      </c>
      <c r="G637" s="40" t="str">
        <f t="shared" si="23"/>
        <v xml:space="preserve"> </v>
      </c>
    </row>
    <row r="638" spans="2:7" x14ac:dyDescent="0.25">
      <c r="B638" s="120"/>
      <c r="C638" s="241" t="str">
        <f>IFERROR(VLOOKUP(B638,'Productos '!B:C,2,FALSE)," ")</f>
        <v xml:space="preserve"> </v>
      </c>
      <c r="D638" s="242"/>
      <c r="E638" s="120"/>
      <c r="F638" s="40" t="str">
        <f>IFERROR(VLOOKUP(B638,'Productos '!B:G,3,FALSE)," ")</f>
        <v xml:space="preserve"> </v>
      </c>
      <c r="G638" s="40" t="str">
        <f t="shared" si="23"/>
        <v xml:space="preserve"> </v>
      </c>
    </row>
    <row r="639" spans="2:7" x14ac:dyDescent="0.25">
      <c r="B639" s="120"/>
      <c r="C639" s="241" t="str">
        <f>IFERROR(VLOOKUP(B639,'Productos '!B:C,2,FALSE)," ")</f>
        <v xml:space="preserve"> </v>
      </c>
      <c r="D639" s="242"/>
      <c r="E639" s="120"/>
      <c r="F639" s="40" t="str">
        <f>IFERROR(VLOOKUP(B639,'Productos '!B:G,3,FALSE)," ")</f>
        <v xml:space="preserve"> </v>
      </c>
      <c r="G639" s="40" t="str">
        <f t="shared" si="23"/>
        <v xml:space="preserve"> </v>
      </c>
    </row>
    <row r="640" spans="2:7" x14ac:dyDescent="0.25">
      <c r="B640" s="120"/>
      <c r="C640" s="241" t="str">
        <f>IFERROR(VLOOKUP(B640,'Productos '!B:C,2,FALSE)," ")</f>
        <v xml:space="preserve"> </v>
      </c>
      <c r="D640" s="242"/>
      <c r="E640" s="120"/>
      <c r="F640" s="40" t="str">
        <f>IFERROR(VLOOKUP(B640,'Productos '!B:G,3,FALSE)," ")</f>
        <v xml:space="preserve"> </v>
      </c>
      <c r="G640" s="40" t="str">
        <f t="shared" si="23"/>
        <v xml:space="preserve"> </v>
      </c>
    </row>
    <row r="641" spans="2:7" x14ac:dyDescent="0.25">
      <c r="B641" s="174"/>
      <c r="C641" s="253" t="s">
        <v>88</v>
      </c>
      <c r="D641" s="254"/>
      <c r="E641" s="38">
        <f>SUM(E634:E640)</f>
        <v>4</v>
      </c>
      <c r="F641" s="173" t="s">
        <v>89</v>
      </c>
      <c r="G641" s="40">
        <f>SUM(G634:G640)</f>
        <v>1336.2068965517242</v>
      </c>
    </row>
    <row r="642" spans="2:7" x14ac:dyDescent="0.25">
      <c r="B642" s="174"/>
      <c r="C642" s="174"/>
      <c r="D642" s="174"/>
      <c r="E642" s="174"/>
      <c r="F642" s="173" t="s">
        <v>90</v>
      </c>
      <c r="G642" s="40">
        <f>G641*16%</f>
        <v>213.79310344827587</v>
      </c>
    </row>
    <row r="643" spans="2:7" x14ac:dyDescent="0.25">
      <c r="B643" s="173" t="s">
        <v>91</v>
      </c>
      <c r="C643" s="241" t="str">
        <f>IFERROR(VLOOKUP(D625,'DATOS REGISTRADOS'!B:R,17,FALSE)," ")</f>
        <v>Ezequiel Francisco Maldonado Martinez</v>
      </c>
      <c r="D643" s="252"/>
      <c r="E643" s="242"/>
      <c r="F643" s="173" t="s">
        <v>57</v>
      </c>
      <c r="G643" s="68">
        <f>SUM(G641:G642)</f>
        <v>1550</v>
      </c>
    </row>
    <row r="644" spans="2:7" x14ac:dyDescent="0.25">
      <c r="B644" s="245" t="s">
        <v>343</v>
      </c>
      <c r="C644" s="245"/>
      <c r="D644" s="245"/>
      <c r="E644" s="245"/>
      <c r="F644" s="245"/>
      <c r="G644" s="245"/>
    </row>
    <row r="645" spans="2:7" x14ac:dyDescent="0.25">
      <c r="B645" s="246" t="s">
        <v>124</v>
      </c>
      <c r="C645" s="247"/>
      <c r="D645" s="247"/>
      <c r="E645" s="247"/>
      <c r="F645" s="247"/>
      <c r="G645" s="248"/>
    </row>
    <row r="646" spans="2:7" x14ac:dyDescent="0.25">
      <c r="B646" s="54" t="s">
        <v>123</v>
      </c>
      <c r="C646" s="172"/>
      <c r="D646" s="245" t="s">
        <v>128</v>
      </c>
      <c r="E646" s="245"/>
      <c r="F646" s="245"/>
      <c r="G646" s="245"/>
    </row>
    <row r="649" spans="2:7" x14ac:dyDescent="0.25">
      <c r="B649" s="174"/>
      <c r="C649" s="174"/>
      <c r="D649" s="174"/>
      <c r="E649" s="174"/>
      <c r="F649" s="174"/>
      <c r="G649" s="174"/>
    </row>
    <row r="650" spans="2:7" x14ac:dyDescent="0.25">
      <c r="B650" s="174"/>
      <c r="C650" s="250" t="s">
        <v>22</v>
      </c>
      <c r="D650" s="250"/>
      <c r="E650" s="42"/>
      <c r="F650" s="250"/>
      <c r="G650" s="250"/>
    </row>
    <row r="651" spans="2:7" x14ac:dyDescent="0.25">
      <c r="B651" s="174"/>
      <c r="C651" s="251"/>
      <c r="D651" s="251"/>
      <c r="E651" s="174"/>
      <c r="F651" s="43"/>
      <c r="G651" s="174"/>
    </row>
    <row r="652" spans="2:7" x14ac:dyDescent="0.25">
      <c r="B652" s="174"/>
      <c r="C652" s="27" t="s">
        <v>77</v>
      </c>
      <c r="D652" s="120">
        <v>48</v>
      </c>
      <c r="E652" s="173" t="s">
        <v>125</v>
      </c>
      <c r="F652" s="56">
        <v>53</v>
      </c>
      <c r="G652" s="174"/>
    </row>
    <row r="653" spans="2:7" x14ac:dyDescent="0.25">
      <c r="B653" s="174"/>
      <c r="C653" s="29" t="s">
        <v>76</v>
      </c>
      <c r="D653" s="176">
        <f>IFERROR(VLOOKUP(D652,'DATOS REGISTRADOS'!B:Q,16,FALSE)," ")</f>
        <v>36</v>
      </c>
      <c r="E653" s="30" t="s">
        <v>78</v>
      </c>
      <c r="F653" s="31">
        <v>43591</v>
      </c>
      <c r="G653" s="174"/>
    </row>
    <row r="654" spans="2:7" x14ac:dyDescent="0.25">
      <c r="B654" s="256" t="s">
        <v>79</v>
      </c>
      <c r="C654" s="256"/>
      <c r="D654" s="256"/>
      <c r="E654" s="256"/>
      <c r="F654" s="256"/>
      <c r="G654" s="256"/>
    </row>
    <row r="655" spans="2:7" x14ac:dyDescent="0.25">
      <c r="B655" s="173" t="s">
        <v>80</v>
      </c>
      <c r="C655" s="257" t="str">
        <f>IFERROR(VLOOKUP(D652,'DATOS REGISTRADOS'!B:C,2,FALSE)," ")</f>
        <v xml:space="preserve"> Martha Patricia Segura Aguilar</v>
      </c>
      <c r="D655" s="257"/>
      <c r="E655" s="258"/>
      <c r="F655" s="258"/>
      <c r="G655" s="258"/>
    </row>
    <row r="656" spans="2:7" x14ac:dyDescent="0.25">
      <c r="B656" s="175" t="s">
        <v>81</v>
      </c>
      <c r="C656" s="259" t="str">
        <f>IFERROR(VLOOKUP(D652,'DATOS REGISTRADOS'!B:Q,3,FALSE)," ")</f>
        <v>calle 18 #2139 entre av. la quinta topa con walmart es privada</v>
      </c>
      <c r="D656" s="260"/>
      <c r="E656" s="35" t="s">
        <v>82</v>
      </c>
      <c r="F656" s="261">
        <f>IFERROR(VLOOKUP(D652,'DATOS REGISTRADOS'!B:Q,7,FALSE)," ")</f>
        <v>8115967690</v>
      </c>
      <c r="G656" s="261"/>
    </row>
    <row r="657" spans="2:7" x14ac:dyDescent="0.25">
      <c r="B657" s="174"/>
      <c r="C657" s="243" t="str">
        <f>IFERROR(VLOOKUP(D652,'DATOS REGISTRADOS'!B:Q,4,FALSE)," ")</f>
        <v>col.la quinta guadalupe</v>
      </c>
      <c r="D657" s="244"/>
      <c r="E657" s="174">
        <f>IFERROR(VLOOKUP(D652,'DATOS REGISTRADOS'!B:Q,16,FALSE)," ")</f>
        <v>36</v>
      </c>
      <c r="F657" s="174">
        <f>IFERROR(VLOOKUP(E657,'DATOS REGISTRADOS'!B:Q,16,FALSE)," ")</f>
        <v>30</v>
      </c>
      <c r="G657" s="174">
        <f>IFERROR(VLOOKUP(F657,'DATOS REGISTRADOS'!B:Q,16,FALSE)," ")</f>
        <v>15</v>
      </c>
    </row>
    <row r="658" spans="2:7" x14ac:dyDescent="0.25">
      <c r="B658" s="174"/>
      <c r="C658" s="66" t="str">
        <f>IFERROR(VLOOKUP(D652,'DATOS REGISTRADOS'!B:Q,5,FALSE)," ")</f>
        <v>NL</v>
      </c>
      <c r="D658" s="67">
        <f>IFERROR(VLOOKUP(D652,'DATOS REGISTRADOS'!B:Q,6,FALSE)," ")</f>
        <v>67175</v>
      </c>
      <c r="E658" s="174" t="s">
        <v>373</v>
      </c>
      <c r="F658" s="174" t="s">
        <v>374</v>
      </c>
      <c r="G658" s="174" t="s">
        <v>375</v>
      </c>
    </row>
    <row r="659" spans="2:7" x14ac:dyDescent="0.25">
      <c r="B659" s="256" t="s">
        <v>83</v>
      </c>
      <c r="C659" s="262"/>
      <c r="D659" s="262"/>
      <c r="E659" s="256"/>
      <c r="F659" s="256"/>
      <c r="G659" s="256"/>
    </row>
    <row r="660" spans="2:7" x14ac:dyDescent="0.25">
      <c r="B660" s="173" t="s">
        <v>84</v>
      </c>
      <c r="C660" s="249" t="s">
        <v>85</v>
      </c>
      <c r="D660" s="249"/>
      <c r="E660" s="173" t="s">
        <v>86</v>
      </c>
      <c r="F660" s="173" t="s">
        <v>87</v>
      </c>
      <c r="G660" s="173" t="s">
        <v>57</v>
      </c>
    </row>
    <row r="661" spans="2:7" x14ac:dyDescent="0.25">
      <c r="B661" s="120" t="s">
        <v>126</v>
      </c>
      <c r="C661" s="241" t="str">
        <f>IFERROR(VLOOKUP(B661,'Productos '!B:C,2,FALSE)," ")</f>
        <v>Recompra 1 Activador Celular</v>
      </c>
      <c r="D661" s="242"/>
      <c r="E661" s="120">
        <v>1</v>
      </c>
      <c r="F661" s="40">
        <f>IFERROR(VLOOKUP(B661,'Productos '!B:G,3,FALSE)," ")</f>
        <v>431.0344827586207</v>
      </c>
      <c r="G661" s="40">
        <f>IFERROR((F661*E661)," ")</f>
        <v>431.0344827586207</v>
      </c>
    </row>
    <row r="662" spans="2:7" x14ac:dyDescent="0.25">
      <c r="B662" s="120" t="s">
        <v>323</v>
      </c>
      <c r="C662" s="241" t="str">
        <f>IFERROR(VLOOKUP(B662,'Productos '!B:C,2,FALSE)," ")</f>
        <v>Promoción ActiCell</v>
      </c>
      <c r="D662" s="242"/>
      <c r="E662" s="120">
        <v>3</v>
      </c>
      <c r="F662" s="40">
        <f>IFERROR(VLOOKUP(B662,'Productos '!B:G,3,FALSE)," ")</f>
        <v>301.72413793103448</v>
      </c>
      <c r="G662" s="40">
        <f t="shared" ref="G662:G667" si="24">IFERROR((F662*E662)," ")</f>
        <v>905.17241379310349</v>
      </c>
    </row>
    <row r="663" spans="2:7" x14ac:dyDescent="0.25">
      <c r="B663" s="120" t="s">
        <v>328</v>
      </c>
      <c r="C663" s="241" t="str">
        <f>IFERROR(VLOOKUP(B663,'Productos '!B:C,2,FALSE)," ")</f>
        <v>Promoción 5cremas</v>
      </c>
      <c r="D663" s="242"/>
      <c r="E663" s="120">
        <v>1</v>
      </c>
      <c r="F663" s="40">
        <f>IFERROR(VLOOKUP(B663,'Productos '!B:G,3,FALSE)," ")</f>
        <v>517.24137931034488</v>
      </c>
      <c r="G663" s="40">
        <f t="shared" si="24"/>
        <v>517.24137931034488</v>
      </c>
    </row>
    <row r="664" spans="2:7" x14ac:dyDescent="0.25">
      <c r="B664" s="120" t="s">
        <v>328</v>
      </c>
      <c r="C664" s="241" t="str">
        <f>IFERROR(VLOOKUP(B664,'Productos '!B:C,2,FALSE)," ")</f>
        <v>Promoción 5cremas</v>
      </c>
      <c r="D664" s="242"/>
      <c r="E664" s="120">
        <v>1</v>
      </c>
      <c r="F664" s="40">
        <f>IFERROR(VLOOKUP(B664,'Productos '!B:G,3,FALSE)," ")</f>
        <v>517.24137931034488</v>
      </c>
      <c r="G664" s="40">
        <f t="shared" si="24"/>
        <v>517.24137931034488</v>
      </c>
    </row>
    <row r="665" spans="2:7" x14ac:dyDescent="0.25">
      <c r="B665" s="120" t="s">
        <v>151</v>
      </c>
      <c r="C665" s="241" t="str">
        <f>IFERROR(VLOOKUP(B665,'Productos '!B:C,2,FALSE)," ")</f>
        <v>Pago con Bonificaciones</v>
      </c>
      <c r="D665" s="242"/>
      <c r="E665" s="120">
        <v>-60</v>
      </c>
      <c r="F665" s="40">
        <f>IFERROR(VLOOKUP(B665,'Productos '!B:G,3,FALSE)," ")</f>
        <v>0.86206896551724133</v>
      </c>
      <c r="G665" s="40">
        <f t="shared" si="24"/>
        <v>-51.724137931034477</v>
      </c>
    </row>
    <row r="666" spans="2:7" x14ac:dyDescent="0.25">
      <c r="B666" s="120" t="s">
        <v>321</v>
      </c>
      <c r="C666" s="241" t="str">
        <f>IFERROR(VLOOKUP(B666,'Productos '!B:C,2,FALSE)," ")</f>
        <v>Envio</v>
      </c>
      <c r="D666" s="242"/>
      <c r="E666" s="120">
        <v>2</v>
      </c>
      <c r="F666" s="40">
        <f>IFERROR(VLOOKUP(B666,'Productos '!B:G,3,FALSE)," ")</f>
        <v>103.44827586206897</v>
      </c>
      <c r="G666" s="40">
        <f t="shared" si="24"/>
        <v>206.89655172413794</v>
      </c>
    </row>
    <row r="667" spans="2:7" x14ac:dyDescent="0.25">
      <c r="B667" s="120"/>
      <c r="C667" s="241" t="str">
        <f>IFERROR(VLOOKUP(B667,'Productos '!B:C,2,FALSE)," ")</f>
        <v xml:space="preserve"> </v>
      </c>
      <c r="D667" s="242"/>
      <c r="E667" s="120"/>
      <c r="F667" s="40" t="str">
        <f>IFERROR(VLOOKUP(B667,'Productos '!B:G,3,FALSE)," ")</f>
        <v xml:space="preserve"> </v>
      </c>
      <c r="G667" s="40" t="str">
        <f t="shared" si="24"/>
        <v xml:space="preserve"> </v>
      </c>
    </row>
    <row r="668" spans="2:7" x14ac:dyDescent="0.25">
      <c r="B668" s="174"/>
      <c r="C668" s="253" t="s">
        <v>88</v>
      </c>
      <c r="D668" s="254"/>
      <c r="E668" s="38">
        <f>SUM(E661:E667)</f>
        <v>-52</v>
      </c>
      <c r="F668" s="173" t="s">
        <v>89</v>
      </c>
      <c r="G668" s="40">
        <f>SUM(G661:G667)</f>
        <v>2525.8620689655177</v>
      </c>
    </row>
    <row r="669" spans="2:7" x14ac:dyDescent="0.25">
      <c r="B669" s="174"/>
      <c r="C669" s="174"/>
      <c r="D669" s="174"/>
      <c r="E669" s="174"/>
      <c r="F669" s="173" t="s">
        <v>90</v>
      </c>
      <c r="G669" s="40">
        <f>G668*16%</f>
        <v>404.13793103448285</v>
      </c>
    </row>
    <row r="670" spans="2:7" x14ac:dyDescent="0.25">
      <c r="B670" s="173" t="s">
        <v>91</v>
      </c>
      <c r="C670" s="241" t="str">
        <f>IFERROR(VLOOKUP(D652,'DATOS REGISTRADOS'!B:R,17,FALSE)," ")</f>
        <v>Maria del Carmen Segura Aguilar</v>
      </c>
      <c r="D670" s="252"/>
      <c r="E670" s="242"/>
      <c r="F670" s="173" t="s">
        <v>57</v>
      </c>
      <c r="G670" s="68">
        <f>SUM(G668:G669)</f>
        <v>2930.0000000000005</v>
      </c>
    </row>
    <row r="671" spans="2:7" x14ac:dyDescent="0.25">
      <c r="B671" s="245" t="s">
        <v>343</v>
      </c>
      <c r="C671" s="245"/>
      <c r="D671" s="245"/>
      <c r="E671" s="245"/>
      <c r="F671" s="245"/>
      <c r="G671" s="245"/>
    </row>
    <row r="672" spans="2:7" x14ac:dyDescent="0.25">
      <c r="B672" s="246" t="s">
        <v>124</v>
      </c>
      <c r="C672" s="247"/>
      <c r="D672" s="247"/>
      <c r="E672" s="247"/>
      <c r="F672" s="247"/>
      <c r="G672" s="248"/>
    </row>
    <row r="673" spans="2:7" x14ac:dyDescent="0.25">
      <c r="B673" s="54" t="s">
        <v>123</v>
      </c>
      <c r="C673" s="172"/>
      <c r="D673" s="245" t="s">
        <v>128</v>
      </c>
      <c r="E673" s="245"/>
      <c r="F673" s="245"/>
      <c r="G673" s="245"/>
    </row>
    <row r="676" spans="2:7" x14ac:dyDescent="0.25">
      <c r="B676" s="174"/>
      <c r="C676" s="174"/>
      <c r="D676" s="174"/>
      <c r="E676" s="174"/>
      <c r="F676" s="174"/>
      <c r="G676" s="174"/>
    </row>
    <row r="677" spans="2:7" x14ac:dyDescent="0.25">
      <c r="B677" s="174"/>
      <c r="C677" s="250" t="s">
        <v>22</v>
      </c>
      <c r="D677" s="250"/>
      <c r="E677" s="42"/>
      <c r="F677" s="250"/>
      <c r="G677" s="250"/>
    </row>
    <row r="678" spans="2:7" x14ac:dyDescent="0.25">
      <c r="B678" s="174"/>
      <c r="C678" s="251"/>
      <c r="D678" s="251"/>
      <c r="E678" s="174"/>
      <c r="F678" s="43"/>
      <c r="G678" s="174"/>
    </row>
    <row r="679" spans="2:7" x14ac:dyDescent="0.25">
      <c r="B679" s="174"/>
      <c r="C679" s="27" t="s">
        <v>77</v>
      </c>
      <c r="D679" s="120">
        <v>20</v>
      </c>
      <c r="E679" s="173" t="s">
        <v>125</v>
      </c>
      <c r="F679" s="56">
        <v>52</v>
      </c>
      <c r="G679" s="174"/>
    </row>
    <row r="680" spans="2:7" x14ac:dyDescent="0.25">
      <c r="B680" s="174"/>
      <c r="C680" s="29" t="s">
        <v>76</v>
      </c>
      <c r="D680" s="176">
        <f>IFERROR(VLOOKUP(D679,'DATOS REGISTRADOS'!B:Q,16,FALSE)," ")</f>
        <v>15</v>
      </c>
      <c r="E680" s="30" t="s">
        <v>78</v>
      </c>
      <c r="F680" s="31">
        <v>43589</v>
      </c>
      <c r="G680" s="174"/>
    </row>
    <row r="681" spans="2:7" x14ac:dyDescent="0.25">
      <c r="B681" s="256" t="s">
        <v>79</v>
      </c>
      <c r="C681" s="256"/>
      <c r="D681" s="256"/>
      <c r="E681" s="256"/>
      <c r="F681" s="256"/>
      <c r="G681" s="256"/>
    </row>
    <row r="682" spans="2:7" x14ac:dyDescent="0.25">
      <c r="B682" s="173" t="s">
        <v>80</v>
      </c>
      <c r="C682" s="257" t="str">
        <f>IFERROR(VLOOKUP(D679,'DATOS REGISTRADOS'!B:C,2,FALSE)," ")</f>
        <v>María amparo Basurto badillo</v>
      </c>
      <c r="D682" s="257"/>
      <c r="E682" s="258"/>
      <c r="F682" s="258"/>
      <c r="G682" s="258"/>
    </row>
    <row r="683" spans="2:7" x14ac:dyDescent="0.25">
      <c r="B683" s="175" t="s">
        <v>81</v>
      </c>
      <c r="C683" s="259" t="str">
        <f>IFERROR(VLOOKUP(D679,'DATOS REGISTRADOS'!B:Q,3,FALSE)," ")</f>
        <v>Bugambilias #204</v>
      </c>
      <c r="D683" s="260"/>
      <c r="E683" s="35" t="s">
        <v>82</v>
      </c>
      <c r="F683" s="261" t="str">
        <f>IFERROR(VLOOKUP(D679,'DATOS REGISTRADOS'!B:Q,7,FALSE)," ")</f>
        <v xml:space="preserve"> </v>
      </c>
      <c r="G683" s="261"/>
    </row>
    <row r="684" spans="2:7" x14ac:dyDescent="0.25">
      <c r="B684" s="174"/>
      <c r="C684" s="243" t="str">
        <f>IFERROR(VLOOKUP(D679,'DATOS REGISTRADOS'!B:Q,4,FALSE)," ")</f>
        <v>Col industrial del vidrio 1er sector ampliación oriente</v>
      </c>
      <c r="D684" s="244"/>
      <c r="E684" s="174">
        <f>IFERROR(VLOOKUP(D679,'DATOS REGISTRADOS'!B:Q,16,FALSE)," ")</f>
        <v>15</v>
      </c>
      <c r="F684" s="174">
        <f>IFERROR(VLOOKUP(E684,'DATOS REGISTRADOS'!B:Q,16,FALSE)," ")</f>
        <v>11</v>
      </c>
      <c r="G684" s="174">
        <f>IFERROR(VLOOKUP(F684,'DATOS REGISTRADOS'!B:Q,16,FALSE)," ")</f>
        <v>10</v>
      </c>
    </row>
    <row r="685" spans="2:7" x14ac:dyDescent="0.25">
      <c r="B685" s="174"/>
      <c r="C685" s="66" t="str">
        <f>IFERROR(VLOOKUP(D679,'DATOS REGISTRADOS'!B:Q,5,FALSE)," ")</f>
        <v>NL</v>
      </c>
      <c r="D685" s="67">
        <f>IFERROR(VLOOKUP(D679,'DATOS REGISTRADOS'!B:Q,6,FALSE)," ")</f>
        <v>66470</v>
      </c>
      <c r="E685" s="174" t="s">
        <v>373</v>
      </c>
      <c r="F685" s="174" t="s">
        <v>374</v>
      </c>
      <c r="G685" s="174" t="s">
        <v>375</v>
      </c>
    </row>
    <row r="686" spans="2:7" x14ac:dyDescent="0.25">
      <c r="B686" s="256" t="s">
        <v>83</v>
      </c>
      <c r="C686" s="262"/>
      <c r="D686" s="262"/>
      <c r="E686" s="256"/>
      <c r="F686" s="256"/>
      <c r="G686" s="256"/>
    </row>
    <row r="687" spans="2:7" x14ac:dyDescent="0.25">
      <c r="B687" s="173" t="s">
        <v>84</v>
      </c>
      <c r="C687" s="249" t="s">
        <v>85</v>
      </c>
      <c r="D687" s="249"/>
      <c r="E687" s="173" t="s">
        <v>86</v>
      </c>
      <c r="F687" s="173" t="s">
        <v>87</v>
      </c>
      <c r="G687" s="173" t="s">
        <v>57</v>
      </c>
    </row>
    <row r="688" spans="2:7" x14ac:dyDescent="0.25">
      <c r="B688" s="120" t="s">
        <v>126</v>
      </c>
      <c r="C688" s="241" t="str">
        <f>IFERROR(VLOOKUP(B688,'Productos '!B:C,2,FALSE)," ")</f>
        <v>Recompra 1 Activador Celular</v>
      </c>
      <c r="D688" s="242"/>
      <c r="E688" s="120">
        <v>1</v>
      </c>
      <c r="F688" s="40">
        <f>IFERROR(VLOOKUP(B688,'Productos '!B:G,3,FALSE)," ")</f>
        <v>431.0344827586207</v>
      </c>
      <c r="G688" s="40">
        <f>IFERROR((F688*E688)," ")</f>
        <v>431.0344827586207</v>
      </c>
    </row>
    <row r="689" spans="2:7" x14ac:dyDescent="0.25">
      <c r="B689" s="120" t="s">
        <v>323</v>
      </c>
      <c r="C689" s="241" t="str">
        <f>IFERROR(VLOOKUP(B689,'Productos '!B:C,2,FALSE)," ")</f>
        <v>Promoción ActiCell</v>
      </c>
      <c r="D689" s="242"/>
      <c r="E689" s="120">
        <v>3</v>
      </c>
      <c r="F689" s="40">
        <f>IFERROR(VLOOKUP(B689,'Productos '!B:G,3,FALSE)," ")</f>
        <v>301.72413793103448</v>
      </c>
      <c r="G689" s="40">
        <f t="shared" ref="G689:G694" si="25">IFERROR((F689*E689)," ")</f>
        <v>905.17241379310349</v>
      </c>
    </row>
    <row r="690" spans="2:7" x14ac:dyDescent="0.25">
      <c r="B690" s="120"/>
      <c r="C690" s="241" t="str">
        <f>IFERROR(VLOOKUP(B690,'Productos '!B:C,2,FALSE)," ")</f>
        <v xml:space="preserve"> </v>
      </c>
      <c r="D690" s="242"/>
      <c r="E690" s="120"/>
      <c r="F690" s="40" t="str">
        <f>IFERROR(VLOOKUP(B690,'Productos '!B:G,3,FALSE)," ")</f>
        <v xml:space="preserve"> </v>
      </c>
      <c r="G690" s="40" t="str">
        <f t="shared" si="25"/>
        <v xml:space="preserve"> </v>
      </c>
    </row>
    <row r="691" spans="2:7" x14ac:dyDescent="0.25">
      <c r="B691" s="120"/>
      <c r="C691" s="241" t="str">
        <f>IFERROR(VLOOKUP(B691,'Productos '!B:C,2,FALSE)," ")</f>
        <v xml:space="preserve"> </v>
      </c>
      <c r="D691" s="242"/>
      <c r="E691" s="120"/>
      <c r="F691" s="40" t="str">
        <f>IFERROR(VLOOKUP(B691,'Productos '!B:G,3,FALSE)," ")</f>
        <v xml:space="preserve"> </v>
      </c>
      <c r="G691" s="40" t="str">
        <f t="shared" si="25"/>
        <v xml:space="preserve"> </v>
      </c>
    </row>
    <row r="692" spans="2:7" x14ac:dyDescent="0.25">
      <c r="B692" s="120"/>
      <c r="C692" s="241" t="str">
        <f>IFERROR(VLOOKUP(B692,'Productos '!B:C,2,FALSE)," ")</f>
        <v xml:space="preserve"> </v>
      </c>
      <c r="D692" s="242"/>
      <c r="E692" s="120"/>
      <c r="F692" s="40" t="str">
        <f>IFERROR(VLOOKUP(B692,'Productos '!B:G,3,FALSE)," ")</f>
        <v xml:space="preserve"> </v>
      </c>
      <c r="G692" s="40" t="str">
        <f t="shared" si="25"/>
        <v xml:space="preserve"> </v>
      </c>
    </row>
    <row r="693" spans="2:7" x14ac:dyDescent="0.25">
      <c r="B693" s="120"/>
      <c r="C693" s="241" t="str">
        <f>IFERROR(VLOOKUP(B693,'Productos '!B:C,2,FALSE)," ")</f>
        <v xml:space="preserve"> </v>
      </c>
      <c r="D693" s="242"/>
      <c r="E693" s="120"/>
      <c r="F693" s="40" t="str">
        <f>IFERROR(VLOOKUP(B693,'Productos '!B:G,3,FALSE)," ")</f>
        <v xml:space="preserve"> </v>
      </c>
      <c r="G693" s="40" t="str">
        <f t="shared" si="25"/>
        <v xml:space="preserve"> </v>
      </c>
    </row>
    <row r="694" spans="2:7" x14ac:dyDescent="0.25">
      <c r="B694" s="120"/>
      <c r="C694" s="241" t="str">
        <f>IFERROR(VLOOKUP(B694,'Productos '!B:C,2,FALSE)," ")</f>
        <v xml:space="preserve"> </v>
      </c>
      <c r="D694" s="242"/>
      <c r="E694" s="120"/>
      <c r="F694" s="40" t="str">
        <f>IFERROR(VLOOKUP(B694,'Productos '!B:G,3,FALSE)," ")</f>
        <v xml:space="preserve"> </v>
      </c>
      <c r="G694" s="40" t="str">
        <f t="shared" si="25"/>
        <v xml:space="preserve"> </v>
      </c>
    </row>
    <row r="695" spans="2:7" x14ac:dyDescent="0.25">
      <c r="B695" s="174"/>
      <c r="C695" s="253" t="s">
        <v>88</v>
      </c>
      <c r="D695" s="254"/>
      <c r="E695" s="38">
        <f>SUM(E688:E694)</f>
        <v>4</v>
      </c>
      <c r="F695" s="173" t="s">
        <v>89</v>
      </c>
      <c r="G695" s="40">
        <f>SUM(G688:G694)</f>
        <v>1336.2068965517242</v>
      </c>
    </row>
    <row r="696" spans="2:7" x14ac:dyDescent="0.25">
      <c r="B696" s="174"/>
      <c r="C696" s="174"/>
      <c r="D696" s="174"/>
      <c r="E696" s="174"/>
      <c r="F696" s="173" t="s">
        <v>90</v>
      </c>
      <c r="G696" s="40">
        <f>G695*16%</f>
        <v>213.79310344827587</v>
      </c>
    </row>
    <row r="697" spans="2:7" x14ac:dyDescent="0.25">
      <c r="B697" s="173" t="s">
        <v>91</v>
      </c>
      <c r="C697" s="241" t="str">
        <f>IFERROR(VLOOKUP(D679,'DATOS REGISTRADOS'!B:R,17,FALSE)," ")</f>
        <v>Celia Salazar Soto</v>
      </c>
      <c r="D697" s="252"/>
      <c r="E697" s="242"/>
      <c r="F697" s="173" t="s">
        <v>57</v>
      </c>
      <c r="G697" s="68">
        <f>SUM(G695:G696)</f>
        <v>1550</v>
      </c>
    </row>
    <row r="698" spans="2:7" x14ac:dyDescent="0.25">
      <c r="B698" s="245" t="s">
        <v>343</v>
      </c>
      <c r="C698" s="245"/>
      <c r="D698" s="245"/>
      <c r="E698" s="245"/>
      <c r="F698" s="245"/>
      <c r="G698" s="245"/>
    </row>
    <row r="699" spans="2:7" x14ac:dyDescent="0.25">
      <c r="B699" s="246" t="s">
        <v>124</v>
      </c>
      <c r="C699" s="247"/>
      <c r="D699" s="247"/>
      <c r="E699" s="247"/>
      <c r="F699" s="247"/>
      <c r="G699" s="248"/>
    </row>
    <row r="700" spans="2:7" x14ac:dyDescent="0.25">
      <c r="B700" s="54" t="s">
        <v>123</v>
      </c>
      <c r="C700" s="172"/>
      <c r="D700" s="245" t="s">
        <v>128</v>
      </c>
      <c r="E700" s="245"/>
      <c r="F700" s="245"/>
      <c r="G700" s="245"/>
    </row>
    <row r="703" spans="2:7" x14ac:dyDescent="0.25">
      <c r="B703" s="168"/>
      <c r="C703" s="168"/>
      <c r="D703" s="168"/>
      <c r="E703" s="168"/>
      <c r="F703" s="168"/>
      <c r="G703" s="168"/>
    </row>
    <row r="704" spans="2:7" x14ac:dyDescent="0.25">
      <c r="B704" s="168"/>
      <c r="C704" s="250" t="s">
        <v>22</v>
      </c>
      <c r="D704" s="250"/>
      <c r="E704" s="42"/>
      <c r="F704" s="250"/>
      <c r="G704" s="250"/>
    </row>
    <row r="705" spans="2:7" x14ac:dyDescent="0.25">
      <c r="B705" s="168"/>
      <c r="C705" s="251"/>
      <c r="D705" s="251"/>
      <c r="E705" s="168"/>
      <c r="F705" s="43"/>
      <c r="G705" s="168"/>
    </row>
    <row r="706" spans="2:7" x14ac:dyDescent="0.25">
      <c r="B706" s="168"/>
      <c r="C706" s="27" t="s">
        <v>77</v>
      </c>
      <c r="D706" s="120">
        <v>15</v>
      </c>
      <c r="E706" s="170" t="s">
        <v>125</v>
      </c>
      <c r="F706" s="56">
        <v>50</v>
      </c>
      <c r="G706" s="168"/>
    </row>
    <row r="707" spans="2:7" x14ac:dyDescent="0.25">
      <c r="B707" s="168"/>
      <c r="C707" s="29" t="s">
        <v>76</v>
      </c>
      <c r="D707" s="167">
        <f>IFERROR(VLOOKUP(D706,'DATOS REGISTRADOS'!B:Q,16,FALSE)," ")</f>
        <v>11</v>
      </c>
      <c r="E707" s="30" t="s">
        <v>78</v>
      </c>
      <c r="F707" s="31">
        <v>43585</v>
      </c>
      <c r="G707" s="168"/>
    </row>
    <row r="708" spans="2:7" x14ac:dyDescent="0.25">
      <c r="B708" s="256" t="s">
        <v>79</v>
      </c>
      <c r="C708" s="256"/>
      <c r="D708" s="256"/>
      <c r="E708" s="256"/>
      <c r="F708" s="256"/>
      <c r="G708" s="256"/>
    </row>
    <row r="709" spans="2:7" x14ac:dyDescent="0.25">
      <c r="B709" s="170" t="s">
        <v>80</v>
      </c>
      <c r="C709" s="257" t="str">
        <f>IFERROR(VLOOKUP(D706,'DATOS REGISTRADOS'!B:C,2,FALSE)," ")</f>
        <v>Celia Salazar Soto</v>
      </c>
      <c r="D709" s="257"/>
      <c r="E709" s="258"/>
      <c r="F709" s="258"/>
      <c r="G709" s="258"/>
    </row>
    <row r="710" spans="2:7" x14ac:dyDescent="0.25">
      <c r="B710" s="171" t="s">
        <v>81</v>
      </c>
      <c r="C710" s="259" t="str">
        <f>IFERROR(VLOOKUP(D706,'DATOS REGISTRADOS'!B:Q,3,FALSE)," ")</f>
        <v>Martha332</v>
      </c>
      <c r="D710" s="260"/>
      <c r="E710" s="35" t="s">
        <v>82</v>
      </c>
      <c r="F710" s="261" t="str">
        <f>IFERROR(VLOOKUP(D706,'DATOS REGISTRADOS'!B:Q,7,FALSE)," ")</f>
        <v>81)88809050</v>
      </c>
      <c r="G710" s="261"/>
    </row>
    <row r="711" spans="2:7" x14ac:dyDescent="0.25">
      <c r="B711" s="168"/>
      <c r="C711" s="243" t="str">
        <f>IFERROR(VLOOKUP(D706,'DATOS REGISTRADOS'!B:Q,4,FALSE)," ")</f>
        <v>Colonia los candiles, Apodaca</v>
      </c>
      <c r="D711" s="244"/>
      <c r="E711" s="168">
        <f>IFERROR(VLOOKUP(D706,'DATOS REGISTRADOS'!B:Q,16,FALSE)," ")</f>
        <v>11</v>
      </c>
      <c r="F711" s="168">
        <f>IFERROR(VLOOKUP(E711,'DATOS REGISTRADOS'!B:Q,16,FALSE)," ")</f>
        <v>10</v>
      </c>
      <c r="G711" s="168">
        <f>IFERROR(VLOOKUP(F711,'DATOS REGISTRADOS'!B:Q,16,FALSE)," ")</f>
        <v>1</v>
      </c>
    </row>
    <row r="712" spans="2:7" x14ac:dyDescent="0.25">
      <c r="B712" s="168"/>
      <c r="C712" s="66" t="str">
        <f>IFERROR(VLOOKUP(D706,'DATOS REGISTRADOS'!B:Q,5,FALSE)," ")</f>
        <v>Nuevo León</v>
      </c>
      <c r="D712" s="67">
        <f>IFERROR(VLOOKUP(D706,'DATOS REGISTRADOS'!B:Q,6,FALSE)," ")</f>
        <v>0</v>
      </c>
      <c r="E712" s="168" t="s">
        <v>373</v>
      </c>
      <c r="F712" s="168" t="s">
        <v>374</v>
      </c>
      <c r="G712" s="168" t="s">
        <v>375</v>
      </c>
    </row>
    <row r="713" spans="2:7" x14ac:dyDescent="0.25">
      <c r="B713" s="256" t="s">
        <v>83</v>
      </c>
      <c r="C713" s="262"/>
      <c r="D713" s="262"/>
      <c r="E713" s="256"/>
      <c r="F713" s="256"/>
      <c r="G713" s="256"/>
    </row>
    <row r="714" spans="2:7" x14ac:dyDescent="0.25">
      <c r="B714" s="170" t="s">
        <v>84</v>
      </c>
      <c r="C714" s="249" t="s">
        <v>85</v>
      </c>
      <c r="D714" s="249"/>
      <c r="E714" s="170" t="s">
        <v>86</v>
      </c>
      <c r="F714" s="170" t="s">
        <v>87</v>
      </c>
      <c r="G714" s="170" t="s">
        <v>57</v>
      </c>
    </row>
    <row r="715" spans="2:7" x14ac:dyDescent="0.25">
      <c r="B715" s="120" t="s">
        <v>377</v>
      </c>
      <c r="C715" s="241" t="str">
        <f>IFERROR(VLOOKUP(B715,'Productos '!B:C,2,FALSE)," ")</f>
        <v>Reposición de producto</v>
      </c>
      <c r="D715" s="242"/>
      <c r="E715" s="120">
        <v>17</v>
      </c>
      <c r="F715" s="40">
        <f>IFERROR(VLOOKUP(B715,'Productos '!B:G,3,FALSE)," ")</f>
        <v>0</v>
      </c>
      <c r="G715" s="40">
        <f>IFERROR((F715*E715)," ")</f>
        <v>0</v>
      </c>
    </row>
    <row r="716" spans="2:7" x14ac:dyDescent="0.25">
      <c r="B716" s="120"/>
      <c r="C716" s="241" t="str">
        <f>IFERROR(VLOOKUP(B716,'Productos '!B:C,2,FALSE)," ")</f>
        <v xml:space="preserve"> </v>
      </c>
      <c r="D716" s="242"/>
      <c r="E716" s="120"/>
      <c r="F716" s="40" t="str">
        <f>IFERROR(VLOOKUP(B716,'Productos '!B:G,3,FALSE)," ")</f>
        <v xml:space="preserve"> </v>
      </c>
      <c r="G716" s="40" t="str">
        <f t="shared" ref="G716:G721" si="26">IFERROR((F716*E716)," ")</f>
        <v xml:space="preserve"> </v>
      </c>
    </row>
    <row r="717" spans="2:7" x14ac:dyDescent="0.25">
      <c r="B717" s="120"/>
      <c r="C717" s="241" t="str">
        <f>IFERROR(VLOOKUP(B717,'Productos '!B:C,2,FALSE)," ")</f>
        <v xml:space="preserve"> </v>
      </c>
      <c r="D717" s="242"/>
      <c r="E717" s="120"/>
      <c r="F717" s="40" t="str">
        <f>IFERROR(VLOOKUP(B717,'Productos '!B:G,3,FALSE)," ")</f>
        <v xml:space="preserve"> </v>
      </c>
      <c r="G717" s="40" t="str">
        <f t="shared" si="26"/>
        <v xml:space="preserve"> </v>
      </c>
    </row>
    <row r="718" spans="2:7" x14ac:dyDescent="0.25">
      <c r="B718" s="120"/>
      <c r="C718" s="241" t="str">
        <f>IFERROR(VLOOKUP(B718,'Productos '!B:C,2,FALSE)," ")</f>
        <v xml:space="preserve"> </v>
      </c>
      <c r="D718" s="242"/>
      <c r="E718" s="120"/>
      <c r="F718" s="40" t="str">
        <f>IFERROR(VLOOKUP(B718,'Productos '!B:G,3,FALSE)," ")</f>
        <v xml:space="preserve"> </v>
      </c>
      <c r="G718" s="40" t="str">
        <f t="shared" si="26"/>
        <v xml:space="preserve"> </v>
      </c>
    </row>
    <row r="719" spans="2:7" x14ac:dyDescent="0.25">
      <c r="B719" s="120"/>
      <c r="C719" s="241" t="str">
        <f>IFERROR(VLOOKUP(B719,'Productos '!B:C,2,FALSE)," ")</f>
        <v xml:space="preserve"> </v>
      </c>
      <c r="D719" s="242"/>
      <c r="E719" s="120"/>
      <c r="F719" s="40" t="str">
        <f>IFERROR(VLOOKUP(B719,'Productos '!B:G,3,FALSE)," ")</f>
        <v xml:space="preserve"> </v>
      </c>
      <c r="G719" s="40" t="str">
        <f t="shared" si="26"/>
        <v xml:space="preserve"> </v>
      </c>
    </row>
    <row r="720" spans="2:7" x14ac:dyDescent="0.25">
      <c r="B720" s="120"/>
      <c r="C720" s="241" t="str">
        <f>IFERROR(VLOOKUP(B720,'Productos '!B:C,2,FALSE)," ")</f>
        <v xml:space="preserve"> </v>
      </c>
      <c r="D720" s="242"/>
      <c r="E720" s="120"/>
      <c r="F720" s="40" t="str">
        <f>IFERROR(VLOOKUP(B720,'Productos '!B:G,3,FALSE)," ")</f>
        <v xml:space="preserve"> </v>
      </c>
      <c r="G720" s="40" t="str">
        <f t="shared" si="26"/>
        <v xml:space="preserve"> </v>
      </c>
    </row>
    <row r="721" spans="2:7" x14ac:dyDescent="0.25">
      <c r="B721" s="120"/>
      <c r="C721" s="241" t="str">
        <f>IFERROR(VLOOKUP(B721,'Productos '!B:C,2,FALSE)," ")</f>
        <v xml:space="preserve"> </v>
      </c>
      <c r="D721" s="242"/>
      <c r="E721" s="120"/>
      <c r="F721" s="40" t="str">
        <f>IFERROR(VLOOKUP(B721,'Productos '!B:G,3,FALSE)," ")</f>
        <v xml:space="preserve"> </v>
      </c>
      <c r="G721" s="40" t="str">
        <f t="shared" si="26"/>
        <v xml:space="preserve"> </v>
      </c>
    </row>
    <row r="722" spans="2:7" x14ac:dyDescent="0.25">
      <c r="B722" s="168"/>
      <c r="C722" s="253" t="s">
        <v>88</v>
      </c>
      <c r="D722" s="254"/>
      <c r="E722" s="38">
        <f>SUM(E715:E721)</f>
        <v>17</v>
      </c>
      <c r="F722" s="170" t="s">
        <v>89</v>
      </c>
      <c r="G722" s="40">
        <f>SUM(G715:G721)</f>
        <v>0</v>
      </c>
    </row>
    <row r="723" spans="2:7" x14ac:dyDescent="0.25">
      <c r="B723" s="168"/>
      <c r="C723" s="168"/>
      <c r="D723" s="168"/>
      <c r="E723" s="168"/>
      <c r="F723" s="170" t="s">
        <v>90</v>
      </c>
      <c r="G723" s="40">
        <f>G722*16%</f>
        <v>0</v>
      </c>
    </row>
    <row r="724" spans="2:7" x14ac:dyDescent="0.25">
      <c r="B724" s="170" t="s">
        <v>91</v>
      </c>
      <c r="C724" s="241" t="str">
        <f>IFERROR(VLOOKUP(D706,'DATOS REGISTRADOS'!B:R,17,FALSE)," ")</f>
        <v>Silvano Cavazos Salazar</v>
      </c>
      <c r="D724" s="252"/>
      <c r="E724" s="242"/>
      <c r="F724" s="170" t="s">
        <v>57</v>
      </c>
      <c r="G724" s="68">
        <f>SUM(G722:G723)</f>
        <v>0</v>
      </c>
    </row>
    <row r="725" spans="2:7" x14ac:dyDescent="0.25">
      <c r="B725" s="245" t="s">
        <v>343</v>
      </c>
      <c r="C725" s="245"/>
      <c r="D725" s="245"/>
      <c r="E725" s="245"/>
      <c r="F725" s="245"/>
      <c r="G725" s="245"/>
    </row>
    <row r="726" spans="2:7" x14ac:dyDescent="0.25">
      <c r="B726" s="246" t="s">
        <v>124</v>
      </c>
      <c r="C726" s="247"/>
      <c r="D726" s="247"/>
      <c r="E726" s="247"/>
      <c r="F726" s="247"/>
      <c r="G726" s="248"/>
    </row>
    <row r="727" spans="2:7" x14ac:dyDescent="0.25">
      <c r="B727" s="54" t="s">
        <v>123</v>
      </c>
      <c r="C727" s="169"/>
      <c r="D727" s="245" t="s">
        <v>128</v>
      </c>
      <c r="E727" s="245"/>
      <c r="F727" s="245"/>
      <c r="G727" s="245"/>
    </row>
    <row r="730" spans="2:7" x14ac:dyDescent="0.25">
      <c r="B730" s="158"/>
      <c r="C730" s="158"/>
      <c r="D730" s="158"/>
      <c r="E730" s="158"/>
      <c r="F730" s="158"/>
      <c r="G730" s="158"/>
    </row>
    <row r="731" spans="2:7" x14ac:dyDescent="0.25">
      <c r="B731" s="158"/>
      <c r="C731" s="250" t="s">
        <v>22</v>
      </c>
      <c r="D731" s="250"/>
      <c r="E731" s="42"/>
      <c r="F731" s="250"/>
      <c r="G731" s="250"/>
    </row>
    <row r="732" spans="2:7" x14ac:dyDescent="0.25">
      <c r="B732" s="158"/>
      <c r="C732" s="251"/>
      <c r="D732" s="251"/>
      <c r="E732" s="158"/>
      <c r="F732" s="43"/>
      <c r="G732" s="158"/>
    </row>
    <row r="733" spans="2:7" x14ac:dyDescent="0.25">
      <c r="B733" s="158"/>
      <c r="C733" s="27" t="s">
        <v>77</v>
      </c>
      <c r="D733" s="120">
        <v>23</v>
      </c>
      <c r="E733" s="160" t="s">
        <v>125</v>
      </c>
      <c r="F733" s="56">
        <v>49</v>
      </c>
      <c r="G733" s="158"/>
    </row>
    <row r="734" spans="2:7" x14ac:dyDescent="0.25">
      <c r="B734" s="158"/>
      <c r="C734" s="29" t="s">
        <v>76</v>
      </c>
      <c r="D734" s="157">
        <f>IFERROR(VLOOKUP(D733,'DATOS REGISTRADOS'!B:Q,16,FALSE)," ")</f>
        <v>11</v>
      </c>
      <c r="E734" s="30" t="s">
        <v>78</v>
      </c>
      <c r="F734" s="31">
        <v>43585</v>
      </c>
      <c r="G734" s="158"/>
    </row>
    <row r="735" spans="2:7" x14ac:dyDescent="0.25">
      <c r="B735" s="256" t="s">
        <v>79</v>
      </c>
      <c r="C735" s="256"/>
      <c r="D735" s="256"/>
      <c r="E735" s="256"/>
      <c r="F735" s="256"/>
      <c r="G735" s="256"/>
    </row>
    <row r="736" spans="2:7" x14ac:dyDescent="0.25">
      <c r="B736" s="160" t="s">
        <v>80</v>
      </c>
      <c r="C736" s="257" t="str">
        <f>IFERROR(VLOOKUP(D733,'DATOS REGISTRADOS'!B:C,2,FALSE)," ")</f>
        <v>Bertha Vázquez</v>
      </c>
      <c r="D736" s="257"/>
      <c r="E736" s="258"/>
      <c r="F736" s="258"/>
      <c r="G736" s="258"/>
    </row>
    <row r="737" spans="2:7" x14ac:dyDescent="0.25">
      <c r="B737" s="161" t="s">
        <v>81</v>
      </c>
      <c r="C737" s="259" t="str">
        <f>IFERROR(VLOOKUP(D733,'DATOS REGISTRADOS'!B:Q,3,FALSE)," ")</f>
        <v>Chihuahua #406</v>
      </c>
      <c r="D737" s="260"/>
      <c r="E737" s="35" t="s">
        <v>82</v>
      </c>
      <c r="F737" s="261">
        <f>IFERROR(VLOOKUP(D733,'DATOS REGISTRADOS'!B:Q,7,FALSE)," ")</f>
        <v>22293936611</v>
      </c>
      <c r="G737" s="261"/>
    </row>
    <row r="738" spans="2:7" x14ac:dyDescent="0.25">
      <c r="B738" s="158"/>
      <c r="C738" s="243" t="str">
        <f>IFERROR(VLOOKUP(D733,'DATOS REGISTRADOS'!B:Q,4,FALSE)," ")</f>
        <v>Col. Provivienda</v>
      </c>
      <c r="D738" s="244"/>
      <c r="E738" s="158"/>
      <c r="F738" s="158"/>
      <c r="G738" s="158"/>
    </row>
    <row r="739" spans="2:7" x14ac:dyDescent="0.25">
      <c r="B739" s="158"/>
      <c r="C739" s="66" t="str">
        <f>IFERROR(VLOOKUP(D733,'DATOS REGISTRADOS'!B:Q,5,FALSE)," ")</f>
        <v>Guadalupe Nuevo León</v>
      </c>
      <c r="D739" s="67">
        <f>IFERROR(VLOOKUP(D733,'DATOS REGISTRADOS'!B:Q,6,FALSE)," ")</f>
        <v>67110</v>
      </c>
      <c r="E739" s="158"/>
      <c r="F739" s="158"/>
      <c r="G739" s="158"/>
    </row>
    <row r="740" spans="2:7" x14ac:dyDescent="0.25">
      <c r="B740" s="256" t="s">
        <v>83</v>
      </c>
      <c r="C740" s="262"/>
      <c r="D740" s="262"/>
      <c r="E740" s="256"/>
      <c r="F740" s="256"/>
      <c r="G740" s="256"/>
    </row>
    <row r="741" spans="2:7" x14ac:dyDescent="0.25">
      <c r="B741" s="160" t="s">
        <v>84</v>
      </c>
      <c r="C741" s="249" t="s">
        <v>85</v>
      </c>
      <c r="D741" s="249"/>
      <c r="E741" s="160" t="s">
        <v>86</v>
      </c>
      <c r="F741" s="160" t="s">
        <v>87</v>
      </c>
      <c r="G741" s="160" t="s">
        <v>57</v>
      </c>
    </row>
    <row r="742" spans="2:7" x14ac:dyDescent="0.25">
      <c r="B742" s="120" t="s">
        <v>126</v>
      </c>
      <c r="C742" s="241" t="str">
        <f>IFERROR(VLOOKUP(B742,'Productos '!B:C,2,FALSE)," ")</f>
        <v>Recompra 1 Activador Celular</v>
      </c>
      <c r="D742" s="242"/>
      <c r="E742" s="120">
        <v>1</v>
      </c>
      <c r="F742" s="40">
        <f>IFERROR(VLOOKUP(B742,'Productos '!B:G,3,FALSE)," ")</f>
        <v>431.0344827586207</v>
      </c>
      <c r="G742" s="40">
        <f>IFERROR((F742*E742)," ")</f>
        <v>431.0344827586207</v>
      </c>
    </row>
    <row r="743" spans="2:7" x14ac:dyDescent="0.25">
      <c r="B743" s="120"/>
      <c r="C743" s="241" t="str">
        <f>IFERROR(VLOOKUP(B743,'Productos '!B:C,2,FALSE)," ")</f>
        <v xml:space="preserve"> </v>
      </c>
      <c r="D743" s="242"/>
      <c r="E743" s="120"/>
      <c r="F743" s="40" t="str">
        <f>IFERROR(VLOOKUP(B743,'Productos '!B:G,3,FALSE)," ")</f>
        <v xml:space="preserve"> </v>
      </c>
      <c r="G743" s="40" t="str">
        <f t="shared" ref="G743:G748" si="27">IFERROR((F743*E743)," ")</f>
        <v xml:space="preserve"> </v>
      </c>
    </row>
    <row r="744" spans="2:7" x14ac:dyDescent="0.25">
      <c r="B744" s="120"/>
      <c r="C744" s="241" t="str">
        <f>IFERROR(VLOOKUP(B744,'Productos '!B:C,2,FALSE)," ")</f>
        <v xml:space="preserve"> </v>
      </c>
      <c r="D744" s="242"/>
      <c r="E744" s="120"/>
      <c r="F744" s="40" t="str">
        <f>IFERROR(VLOOKUP(B744,'Productos '!B:G,3,FALSE)," ")</f>
        <v xml:space="preserve"> </v>
      </c>
      <c r="G744" s="40" t="str">
        <f t="shared" si="27"/>
        <v xml:space="preserve"> </v>
      </c>
    </row>
    <row r="745" spans="2:7" x14ac:dyDescent="0.25">
      <c r="B745" s="120"/>
      <c r="C745" s="241" t="str">
        <f>IFERROR(VLOOKUP(B745,'Productos '!B:C,2,FALSE)," ")</f>
        <v xml:space="preserve"> </v>
      </c>
      <c r="D745" s="242"/>
      <c r="E745" s="120"/>
      <c r="F745" s="40" t="str">
        <f>IFERROR(VLOOKUP(B745,'Productos '!B:G,3,FALSE)," ")</f>
        <v xml:space="preserve"> </v>
      </c>
      <c r="G745" s="40" t="str">
        <f t="shared" si="27"/>
        <v xml:space="preserve"> </v>
      </c>
    </row>
    <row r="746" spans="2:7" x14ac:dyDescent="0.25">
      <c r="B746" s="120"/>
      <c r="C746" s="241" t="str">
        <f>IFERROR(VLOOKUP(B746,'Productos '!B:C,2,FALSE)," ")</f>
        <v xml:space="preserve"> </v>
      </c>
      <c r="D746" s="242"/>
      <c r="E746" s="120"/>
      <c r="F746" s="40" t="str">
        <f>IFERROR(VLOOKUP(B746,'Productos '!B:G,3,FALSE)," ")</f>
        <v xml:space="preserve"> </v>
      </c>
      <c r="G746" s="40" t="str">
        <f t="shared" si="27"/>
        <v xml:space="preserve"> </v>
      </c>
    </row>
    <row r="747" spans="2:7" x14ac:dyDescent="0.25">
      <c r="B747" s="120"/>
      <c r="C747" s="241" t="str">
        <f>IFERROR(VLOOKUP(B747,'Productos '!B:C,2,FALSE)," ")</f>
        <v xml:space="preserve"> </v>
      </c>
      <c r="D747" s="242"/>
      <c r="E747" s="120"/>
      <c r="F747" s="40" t="str">
        <f>IFERROR(VLOOKUP(B747,'Productos '!B:G,3,FALSE)," ")</f>
        <v xml:space="preserve"> </v>
      </c>
      <c r="G747" s="40" t="str">
        <f t="shared" si="27"/>
        <v xml:space="preserve"> </v>
      </c>
    </row>
    <row r="748" spans="2:7" x14ac:dyDescent="0.25">
      <c r="B748" s="120"/>
      <c r="C748" s="241" t="str">
        <f>IFERROR(VLOOKUP(B748,'Productos '!B:C,2,FALSE)," ")</f>
        <v xml:space="preserve"> </v>
      </c>
      <c r="D748" s="242"/>
      <c r="E748" s="120"/>
      <c r="F748" s="40" t="str">
        <f>IFERROR(VLOOKUP(B748,'Productos '!B:G,3,FALSE)," ")</f>
        <v xml:space="preserve"> </v>
      </c>
      <c r="G748" s="40" t="str">
        <f t="shared" si="27"/>
        <v xml:space="preserve"> </v>
      </c>
    </row>
    <row r="749" spans="2:7" x14ac:dyDescent="0.25">
      <c r="B749" s="158"/>
      <c r="C749" s="253" t="s">
        <v>88</v>
      </c>
      <c r="D749" s="254"/>
      <c r="E749" s="38">
        <f>SUM(E742:E748)</f>
        <v>1</v>
      </c>
      <c r="F749" s="160" t="s">
        <v>89</v>
      </c>
      <c r="G749" s="40">
        <f>SUM(G742:G748)</f>
        <v>431.0344827586207</v>
      </c>
    </row>
    <row r="750" spans="2:7" x14ac:dyDescent="0.25">
      <c r="B750" s="158"/>
      <c r="C750" s="158"/>
      <c r="D750" s="158"/>
      <c r="E750" s="158"/>
      <c r="F750" s="160" t="s">
        <v>90</v>
      </c>
      <c r="G750" s="40">
        <f>G749*16%</f>
        <v>68.965517241379317</v>
      </c>
    </row>
    <row r="751" spans="2:7" x14ac:dyDescent="0.25">
      <c r="B751" s="160" t="s">
        <v>91</v>
      </c>
      <c r="C751" s="241" t="str">
        <f>IFERROR(VLOOKUP(D733,'DATOS REGISTRADOS'!B:R,17,FALSE)," ")</f>
        <v>Silvano Cavazos Salazar</v>
      </c>
      <c r="D751" s="252"/>
      <c r="E751" s="242"/>
      <c r="F751" s="160" t="s">
        <v>57</v>
      </c>
      <c r="G751" s="68">
        <f>SUM(G749:G750)</f>
        <v>500</v>
      </c>
    </row>
    <row r="752" spans="2:7" x14ac:dyDescent="0.25">
      <c r="B752" s="245" t="s">
        <v>343</v>
      </c>
      <c r="C752" s="245"/>
      <c r="D752" s="245"/>
      <c r="E752" s="245"/>
      <c r="F752" s="245"/>
      <c r="G752" s="245"/>
    </row>
    <row r="753" spans="2:7" x14ac:dyDescent="0.25">
      <c r="B753" s="246" t="s">
        <v>124</v>
      </c>
      <c r="C753" s="247"/>
      <c r="D753" s="247"/>
      <c r="E753" s="247"/>
      <c r="F753" s="247"/>
      <c r="G753" s="248"/>
    </row>
    <row r="754" spans="2:7" x14ac:dyDescent="0.25">
      <c r="B754" s="54" t="s">
        <v>123</v>
      </c>
      <c r="C754" s="159"/>
      <c r="D754" s="245" t="s">
        <v>128</v>
      </c>
      <c r="E754" s="245"/>
      <c r="F754" s="245"/>
      <c r="G754" s="245"/>
    </row>
    <row r="757" spans="2:7" x14ac:dyDescent="0.25">
      <c r="B757" s="158"/>
      <c r="C757" s="158"/>
      <c r="D757" s="158"/>
      <c r="E757" s="158"/>
      <c r="F757" s="158"/>
      <c r="G757" s="158"/>
    </row>
    <row r="758" spans="2:7" x14ac:dyDescent="0.25">
      <c r="B758" s="158"/>
      <c r="C758" s="250" t="s">
        <v>22</v>
      </c>
      <c r="D758" s="250"/>
      <c r="E758" s="42"/>
      <c r="F758" s="250"/>
      <c r="G758" s="250"/>
    </row>
    <row r="759" spans="2:7" x14ac:dyDescent="0.25">
      <c r="B759" s="158"/>
      <c r="C759" s="251"/>
      <c r="D759" s="251"/>
      <c r="E759" s="158"/>
      <c r="F759" s="43"/>
      <c r="G759" s="158"/>
    </row>
    <row r="760" spans="2:7" x14ac:dyDescent="0.25">
      <c r="B760" s="158"/>
      <c r="C760" s="27" t="s">
        <v>77</v>
      </c>
      <c r="D760" s="120">
        <v>32</v>
      </c>
      <c r="E760" s="160" t="s">
        <v>125</v>
      </c>
      <c r="F760" s="56">
        <v>48</v>
      </c>
      <c r="G760" s="158"/>
    </row>
    <row r="761" spans="2:7" x14ac:dyDescent="0.25">
      <c r="B761" s="158"/>
      <c r="C761" s="29" t="s">
        <v>76</v>
      </c>
      <c r="D761" s="157">
        <f>IFERROR(VLOOKUP(D760,'DATOS REGISTRADOS'!B:Q,16,FALSE)," ")</f>
        <v>23</v>
      </c>
      <c r="E761" s="30" t="s">
        <v>78</v>
      </c>
      <c r="F761" s="31">
        <v>43585</v>
      </c>
      <c r="G761" s="158"/>
    </row>
    <row r="762" spans="2:7" x14ac:dyDescent="0.25">
      <c r="B762" s="256" t="s">
        <v>79</v>
      </c>
      <c r="C762" s="256"/>
      <c r="D762" s="256"/>
      <c r="E762" s="256"/>
      <c r="F762" s="256"/>
      <c r="G762" s="256"/>
    </row>
    <row r="763" spans="2:7" x14ac:dyDescent="0.25">
      <c r="B763" s="160" t="s">
        <v>80</v>
      </c>
      <c r="C763" s="257" t="str">
        <f>IFERROR(VLOOKUP(D760,'DATOS REGISTRADOS'!B:C,2,FALSE)," ")</f>
        <v>Teresa Rivera Cortez</v>
      </c>
      <c r="D763" s="257"/>
      <c r="E763" s="258"/>
      <c r="F763" s="258"/>
      <c r="G763" s="258"/>
    </row>
    <row r="764" spans="2:7" x14ac:dyDescent="0.25">
      <c r="B764" s="161" t="s">
        <v>81</v>
      </c>
      <c r="C764" s="259" t="str">
        <f>IFERROR(VLOOKUP(D760,'DATOS REGISTRADOS'!B:Q,3,FALSE)," ")</f>
        <v>rey Fernando de aragon # 739 entre Cristobal Colon y puerto de palos</v>
      </c>
      <c r="D764" s="260"/>
      <c r="E764" s="35" t="s">
        <v>82</v>
      </c>
      <c r="F764" s="261">
        <f>IFERROR(VLOOKUP(D760,'DATOS REGISTRADOS'!B:Q,7,FALSE)," ")</f>
        <v>8115698175</v>
      </c>
      <c r="G764" s="261"/>
    </row>
    <row r="765" spans="2:7" x14ac:dyDescent="0.25">
      <c r="B765" s="158"/>
      <c r="C765" s="243" t="str">
        <f>IFERROR(VLOOKUP(D760,'DATOS REGISTRADOS'!B:Q,4,FALSE)," ")</f>
        <v>colonia quinto centenario general Escobedo</v>
      </c>
      <c r="D765" s="244"/>
      <c r="E765" s="158"/>
      <c r="F765" s="158"/>
      <c r="G765" s="158"/>
    </row>
    <row r="766" spans="2:7" x14ac:dyDescent="0.25">
      <c r="B766" s="158"/>
      <c r="C766" s="66" t="str">
        <f>IFERROR(VLOOKUP(D760,'DATOS REGISTRADOS'!B:Q,5,FALSE)," ")</f>
        <v>Nuevo Leon</v>
      </c>
      <c r="D766" s="67">
        <f>IFERROR(VLOOKUP(D760,'DATOS REGISTRADOS'!B:Q,6,FALSE)," ")</f>
        <v>66072</v>
      </c>
      <c r="E766" s="158"/>
      <c r="F766" s="158"/>
      <c r="G766" s="158"/>
    </row>
    <row r="767" spans="2:7" x14ac:dyDescent="0.25">
      <c r="B767" s="256" t="s">
        <v>83</v>
      </c>
      <c r="C767" s="262"/>
      <c r="D767" s="262"/>
      <c r="E767" s="256"/>
      <c r="F767" s="256"/>
      <c r="G767" s="256"/>
    </row>
    <row r="768" spans="2:7" x14ac:dyDescent="0.25">
      <c r="B768" s="160" t="s">
        <v>84</v>
      </c>
      <c r="C768" s="249" t="s">
        <v>85</v>
      </c>
      <c r="D768" s="249"/>
      <c r="E768" s="160" t="s">
        <v>86</v>
      </c>
      <c r="F768" s="160" t="s">
        <v>87</v>
      </c>
      <c r="G768" s="160" t="s">
        <v>57</v>
      </c>
    </row>
    <row r="769" spans="2:7" x14ac:dyDescent="0.25">
      <c r="B769" s="120" t="s">
        <v>328</v>
      </c>
      <c r="C769" s="241" t="str">
        <f>IFERROR(VLOOKUP(B769,'Productos '!B:C,2,FALSE)," ")</f>
        <v>Promoción 5cremas</v>
      </c>
      <c r="D769" s="242"/>
      <c r="E769" s="120">
        <v>1</v>
      </c>
      <c r="F769" s="40">
        <f>IFERROR(VLOOKUP(B769,'Productos '!B:G,3,FALSE)," ")</f>
        <v>517.24137931034488</v>
      </c>
      <c r="G769" s="40">
        <f>IFERROR((F769*E769)," ")</f>
        <v>517.24137931034488</v>
      </c>
    </row>
    <row r="770" spans="2:7" x14ac:dyDescent="0.25">
      <c r="B770" s="120" t="s">
        <v>328</v>
      </c>
      <c r="C770" s="241" t="str">
        <f>IFERROR(VLOOKUP(B770,'Productos '!B:C,2,FALSE)," ")</f>
        <v>Promoción 5cremas</v>
      </c>
      <c r="D770" s="242"/>
      <c r="E770" s="120">
        <v>1</v>
      </c>
      <c r="F770" s="40">
        <f>IFERROR(VLOOKUP(B770,'Productos '!B:G,3,FALSE)," ")</f>
        <v>517.24137931034488</v>
      </c>
      <c r="G770" s="40">
        <f t="shared" ref="G770:G775" si="28">IFERROR((F770*E770)," ")</f>
        <v>517.24137931034488</v>
      </c>
    </row>
    <row r="771" spans="2:7" x14ac:dyDescent="0.25">
      <c r="B771" s="120" t="s">
        <v>336</v>
      </c>
      <c r="C771" s="241" t="str">
        <f>IFERROR(VLOOKUP(B771,'Productos '!B:C,2,FALSE)," ")</f>
        <v>Promoción 5Minoxidil</v>
      </c>
      <c r="D771" s="242"/>
      <c r="E771" s="120">
        <v>1</v>
      </c>
      <c r="F771" s="40">
        <f>IFERROR(VLOOKUP(B771,'Productos '!B:G,3,FALSE)," ")</f>
        <v>387.93103448275861</v>
      </c>
      <c r="G771" s="40">
        <f t="shared" si="28"/>
        <v>387.93103448275861</v>
      </c>
    </row>
    <row r="772" spans="2:7" x14ac:dyDescent="0.25">
      <c r="B772" s="120"/>
      <c r="C772" s="241" t="str">
        <f>IFERROR(VLOOKUP(B772,'Productos '!B:C,2,FALSE)," ")</f>
        <v xml:space="preserve"> </v>
      </c>
      <c r="D772" s="242"/>
      <c r="E772" s="120"/>
      <c r="F772" s="40" t="str">
        <f>IFERROR(VLOOKUP(B772,'Productos '!B:G,3,FALSE)," ")</f>
        <v xml:space="preserve"> </v>
      </c>
      <c r="G772" s="40" t="str">
        <f t="shared" si="28"/>
        <v xml:space="preserve"> </v>
      </c>
    </row>
    <row r="773" spans="2:7" x14ac:dyDescent="0.25">
      <c r="B773" s="120"/>
      <c r="C773" s="241" t="str">
        <f>IFERROR(VLOOKUP(B773,'Productos '!B:C,2,FALSE)," ")</f>
        <v xml:space="preserve"> </v>
      </c>
      <c r="D773" s="242"/>
      <c r="E773" s="120"/>
      <c r="F773" s="40" t="str">
        <f>IFERROR(VLOOKUP(B773,'Productos '!B:G,3,FALSE)," ")</f>
        <v xml:space="preserve"> </v>
      </c>
      <c r="G773" s="40" t="str">
        <f t="shared" si="28"/>
        <v xml:space="preserve"> </v>
      </c>
    </row>
    <row r="774" spans="2:7" x14ac:dyDescent="0.25">
      <c r="B774" s="120"/>
      <c r="C774" s="241" t="str">
        <f>IFERROR(VLOOKUP(B774,'Productos '!B:C,2,FALSE)," ")</f>
        <v xml:space="preserve"> </v>
      </c>
      <c r="D774" s="242"/>
      <c r="E774" s="120"/>
      <c r="F774" s="40" t="str">
        <f>IFERROR(VLOOKUP(B774,'Productos '!B:G,3,FALSE)," ")</f>
        <v xml:space="preserve"> </v>
      </c>
      <c r="G774" s="40" t="str">
        <f t="shared" si="28"/>
        <v xml:space="preserve"> </v>
      </c>
    </row>
    <row r="775" spans="2:7" x14ac:dyDescent="0.25">
      <c r="B775" s="120"/>
      <c r="C775" s="241" t="str">
        <f>IFERROR(VLOOKUP(B775,'Productos '!B:C,2,FALSE)," ")</f>
        <v xml:space="preserve"> </v>
      </c>
      <c r="D775" s="242"/>
      <c r="E775" s="120"/>
      <c r="F775" s="40" t="str">
        <f>IFERROR(VLOOKUP(B775,'Productos '!B:G,3,FALSE)," ")</f>
        <v xml:space="preserve"> </v>
      </c>
      <c r="G775" s="40" t="str">
        <f t="shared" si="28"/>
        <v xml:space="preserve"> </v>
      </c>
    </row>
    <row r="776" spans="2:7" x14ac:dyDescent="0.25">
      <c r="B776" s="158"/>
      <c r="C776" s="253" t="s">
        <v>88</v>
      </c>
      <c r="D776" s="254"/>
      <c r="E776" s="38">
        <f>SUM(E769:E775)</f>
        <v>3</v>
      </c>
      <c r="F776" s="160" t="s">
        <v>89</v>
      </c>
      <c r="G776" s="40">
        <f>SUM(G769:G775)</f>
        <v>1422.4137931034484</v>
      </c>
    </row>
    <row r="777" spans="2:7" x14ac:dyDescent="0.25">
      <c r="B777" s="158"/>
      <c r="C777" s="158"/>
      <c r="D777" s="158"/>
      <c r="E777" s="158"/>
      <c r="F777" s="160" t="s">
        <v>90</v>
      </c>
      <c r="G777" s="40">
        <f>G776*16%</f>
        <v>227.58620689655174</v>
      </c>
    </row>
    <row r="778" spans="2:7" x14ac:dyDescent="0.25">
      <c r="B778" s="160" t="s">
        <v>91</v>
      </c>
      <c r="C778" s="241" t="str">
        <f>IFERROR(VLOOKUP(D760,'DATOS REGISTRADOS'!B:R,17,FALSE)," ")</f>
        <v>Bertha Vázquez</v>
      </c>
      <c r="D778" s="252"/>
      <c r="E778" s="242"/>
      <c r="F778" s="160" t="s">
        <v>57</v>
      </c>
      <c r="G778" s="68">
        <f>SUM(G776:G777)</f>
        <v>1650</v>
      </c>
    </row>
    <row r="779" spans="2:7" x14ac:dyDescent="0.25">
      <c r="B779" s="245" t="s">
        <v>343</v>
      </c>
      <c r="C779" s="245"/>
      <c r="D779" s="245"/>
      <c r="E779" s="245"/>
      <c r="F779" s="245"/>
      <c r="G779" s="245"/>
    </row>
    <row r="780" spans="2:7" x14ac:dyDescent="0.25">
      <c r="B780" s="246" t="s">
        <v>124</v>
      </c>
      <c r="C780" s="247"/>
      <c r="D780" s="247"/>
      <c r="E780" s="247"/>
      <c r="F780" s="247"/>
      <c r="G780" s="248"/>
    </row>
    <row r="781" spans="2:7" x14ac:dyDescent="0.25">
      <c r="B781" s="54" t="s">
        <v>123</v>
      </c>
      <c r="C781" s="159"/>
      <c r="D781" s="245" t="s">
        <v>128</v>
      </c>
      <c r="E781" s="245"/>
      <c r="F781" s="245"/>
      <c r="G781" s="245"/>
    </row>
    <row r="784" spans="2:7" x14ac:dyDescent="0.25">
      <c r="B784" s="158"/>
      <c r="C784" s="158"/>
      <c r="D784" s="158"/>
      <c r="E784" s="158"/>
      <c r="F784" s="158"/>
      <c r="G784" s="158"/>
    </row>
    <row r="785" spans="2:7" x14ac:dyDescent="0.25">
      <c r="B785" s="158"/>
      <c r="C785" s="250" t="s">
        <v>22</v>
      </c>
      <c r="D785" s="250"/>
      <c r="E785" s="42"/>
      <c r="F785" s="250"/>
      <c r="G785" s="250"/>
    </row>
    <row r="786" spans="2:7" x14ac:dyDescent="0.25">
      <c r="B786" s="158"/>
      <c r="C786" s="251"/>
      <c r="D786" s="251"/>
      <c r="E786" s="158"/>
      <c r="F786" s="43"/>
      <c r="G786" s="158"/>
    </row>
    <row r="787" spans="2:7" x14ac:dyDescent="0.25">
      <c r="B787" s="158"/>
      <c r="C787" s="27" t="s">
        <v>77</v>
      </c>
      <c r="D787" s="120">
        <v>52</v>
      </c>
      <c r="E787" s="160" t="s">
        <v>125</v>
      </c>
      <c r="F787" s="56">
        <v>47</v>
      </c>
      <c r="G787" s="158"/>
    </row>
    <row r="788" spans="2:7" x14ac:dyDescent="0.25">
      <c r="B788" s="158"/>
      <c r="C788" s="29" t="s">
        <v>76</v>
      </c>
      <c r="D788" s="157">
        <f>IFERROR(VLOOKUP(D787,'DATOS REGISTRADOS'!B:Q,16,FALSE)," ")</f>
        <v>32</v>
      </c>
      <c r="E788" s="30" t="s">
        <v>78</v>
      </c>
      <c r="F788" s="31">
        <v>43585</v>
      </c>
      <c r="G788" s="158"/>
    </row>
    <row r="789" spans="2:7" x14ac:dyDescent="0.25">
      <c r="B789" s="256" t="s">
        <v>79</v>
      </c>
      <c r="C789" s="256"/>
      <c r="D789" s="256"/>
      <c r="E789" s="256"/>
      <c r="F789" s="256"/>
      <c r="G789" s="256"/>
    </row>
    <row r="790" spans="2:7" x14ac:dyDescent="0.25">
      <c r="B790" s="160" t="s">
        <v>80</v>
      </c>
      <c r="C790" s="257" t="str">
        <f>IFERROR(VLOOKUP(D787,'DATOS REGISTRADOS'!B:C,2,FALSE)," ")</f>
        <v>Guadalupe Olvera Rivera</v>
      </c>
      <c r="D790" s="257"/>
      <c r="E790" s="258"/>
      <c r="F790" s="258"/>
      <c r="G790" s="258"/>
    </row>
    <row r="791" spans="2:7" x14ac:dyDescent="0.25">
      <c r="B791" s="161" t="s">
        <v>81</v>
      </c>
      <c r="C791" s="259" t="str">
        <f>IFERROR(VLOOKUP(D787,'DATOS REGISTRADOS'!B:Q,3,FALSE)," ")</f>
        <v>orquidia #209</v>
      </c>
      <c r="D791" s="260"/>
      <c r="E791" s="35" t="s">
        <v>82</v>
      </c>
      <c r="F791" s="261">
        <f>IFERROR(VLOOKUP(D787,'DATOS REGISTRADOS'!B:Q,7,FALSE)," ")</f>
        <v>8110188323</v>
      </c>
      <c r="G791" s="261"/>
    </row>
    <row r="792" spans="2:7" x14ac:dyDescent="0.25">
      <c r="B792" s="158"/>
      <c r="C792" s="243" t="str">
        <f>IFERROR(VLOOKUP(D787,'DATOS REGISTRADOS'!B:Q,4,FALSE)," ")</f>
        <v>Res.pedregal de San Agustin</v>
      </c>
      <c r="D792" s="244"/>
      <c r="E792" s="158"/>
      <c r="F792" s="158"/>
      <c r="G792" s="158"/>
    </row>
    <row r="793" spans="2:7" x14ac:dyDescent="0.25">
      <c r="B793" s="158"/>
      <c r="C793" s="66" t="str">
        <f>IFERROR(VLOOKUP(D787,'DATOS REGISTRADOS'!B:Q,5,FALSE)," ")</f>
        <v>Escobedo N.L</v>
      </c>
      <c r="D793" s="67">
        <f>IFERROR(VLOOKUP(D787,'DATOS REGISTRADOS'!B:Q,6,FALSE)," ")</f>
        <v>66068</v>
      </c>
      <c r="E793" s="158"/>
      <c r="F793" s="158"/>
      <c r="G793" s="158"/>
    </row>
    <row r="794" spans="2:7" x14ac:dyDescent="0.25">
      <c r="B794" s="256" t="s">
        <v>83</v>
      </c>
      <c r="C794" s="262"/>
      <c r="D794" s="262"/>
      <c r="E794" s="256"/>
      <c r="F794" s="256"/>
      <c r="G794" s="256"/>
    </row>
    <row r="795" spans="2:7" x14ac:dyDescent="0.25">
      <c r="B795" s="160" t="s">
        <v>84</v>
      </c>
      <c r="C795" s="249" t="s">
        <v>85</v>
      </c>
      <c r="D795" s="249"/>
      <c r="E795" s="160" t="s">
        <v>86</v>
      </c>
      <c r="F795" s="160" t="s">
        <v>87</v>
      </c>
      <c r="G795" s="160" t="s">
        <v>57</v>
      </c>
    </row>
    <row r="796" spans="2:7" x14ac:dyDescent="0.25">
      <c r="B796" s="120" t="s">
        <v>322</v>
      </c>
      <c r="C796" s="241" t="str">
        <f>IFERROR(VLOOKUP(B796,'Productos '!B:C,2,FALSE)," ")</f>
        <v>Bono MAYORISTA 12 productos</v>
      </c>
      <c r="D796" s="242"/>
      <c r="E796" s="120">
        <v>1</v>
      </c>
      <c r="F796" s="40">
        <f>IFERROR(VLOOKUP(B796,'Productos '!B:G,3,FALSE)," ")</f>
        <v>4310.3448275862065</v>
      </c>
      <c r="G796" s="40">
        <f>IFERROR((F796*E796)," ")</f>
        <v>4310.3448275862065</v>
      </c>
    </row>
    <row r="797" spans="2:7" x14ac:dyDescent="0.25">
      <c r="B797" s="120" t="s">
        <v>321</v>
      </c>
      <c r="C797" s="241" t="str">
        <f>IFERROR(VLOOKUP(B797,'Productos '!B:C,2,FALSE)," ")</f>
        <v>Envio</v>
      </c>
      <c r="D797" s="242"/>
      <c r="E797" s="120">
        <v>2</v>
      </c>
      <c r="F797" s="40">
        <f>IFERROR(VLOOKUP(B797,'Productos '!B:G,3,FALSE)," ")</f>
        <v>103.44827586206897</v>
      </c>
      <c r="G797" s="40">
        <f t="shared" ref="G797:G802" si="29">IFERROR((F797*E797)," ")</f>
        <v>206.89655172413794</v>
      </c>
    </row>
    <row r="798" spans="2:7" x14ac:dyDescent="0.25">
      <c r="B798" s="120"/>
      <c r="C798" s="241" t="str">
        <f>IFERROR(VLOOKUP(B798,'Productos '!B:C,2,FALSE)," ")</f>
        <v xml:space="preserve"> </v>
      </c>
      <c r="D798" s="242"/>
      <c r="E798" s="120"/>
      <c r="F798" s="40" t="str">
        <f>IFERROR(VLOOKUP(B798,'Productos '!B:G,3,FALSE)," ")</f>
        <v xml:space="preserve"> </v>
      </c>
      <c r="G798" s="40" t="str">
        <f t="shared" si="29"/>
        <v xml:space="preserve"> </v>
      </c>
    </row>
    <row r="799" spans="2:7" x14ac:dyDescent="0.25">
      <c r="B799" s="120"/>
      <c r="C799" s="241" t="str">
        <f>IFERROR(VLOOKUP(B799,'Productos '!B:C,2,FALSE)," ")</f>
        <v xml:space="preserve"> </v>
      </c>
      <c r="D799" s="242"/>
      <c r="E799" s="120"/>
      <c r="F799" s="40" t="str">
        <f>IFERROR(VLOOKUP(B799,'Productos '!B:G,3,FALSE)," ")</f>
        <v xml:space="preserve"> </v>
      </c>
      <c r="G799" s="40" t="str">
        <f t="shared" si="29"/>
        <v xml:space="preserve"> </v>
      </c>
    </row>
    <row r="800" spans="2:7" x14ac:dyDescent="0.25">
      <c r="B800" s="120"/>
      <c r="C800" s="241" t="str">
        <f>IFERROR(VLOOKUP(B800,'Productos '!B:C,2,FALSE)," ")</f>
        <v xml:space="preserve"> </v>
      </c>
      <c r="D800" s="242"/>
      <c r="E800" s="120"/>
      <c r="F800" s="40" t="str">
        <f>IFERROR(VLOOKUP(B800,'Productos '!B:G,3,FALSE)," ")</f>
        <v xml:space="preserve"> </v>
      </c>
      <c r="G800" s="40" t="str">
        <f t="shared" si="29"/>
        <v xml:space="preserve"> </v>
      </c>
    </row>
    <row r="801" spans="2:7" x14ac:dyDescent="0.25">
      <c r="B801" s="120"/>
      <c r="C801" s="241" t="str">
        <f>IFERROR(VLOOKUP(B801,'Productos '!B:C,2,FALSE)," ")</f>
        <v xml:space="preserve"> </v>
      </c>
      <c r="D801" s="242"/>
      <c r="E801" s="120"/>
      <c r="F801" s="40" t="str">
        <f>IFERROR(VLOOKUP(B801,'Productos '!B:G,3,FALSE)," ")</f>
        <v xml:space="preserve"> </v>
      </c>
      <c r="G801" s="40" t="str">
        <f t="shared" si="29"/>
        <v xml:space="preserve"> </v>
      </c>
    </row>
    <row r="802" spans="2:7" x14ac:dyDescent="0.25">
      <c r="B802" s="120"/>
      <c r="C802" s="241" t="str">
        <f>IFERROR(VLOOKUP(B802,'Productos '!B:C,2,FALSE)," ")</f>
        <v xml:space="preserve"> </v>
      </c>
      <c r="D802" s="242"/>
      <c r="E802" s="120"/>
      <c r="F802" s="40" t="str">
        <f>IFERROR(VLOOKUP(B802,'Productos '!B:G,3,FALSE)," ")</f>
        <v xml:space="preserve"> </v>
      </c>
      <c r="G802" s="40" t="str">
        <f t="shared" si="29"/>
        <v xml:space="preserve"> </v>
      </c>
    </row>
    <row r="803" spans="2:7" x14ac:dyDescent="0.25">
      <c r="B803" s="158"/>
      <c r="C803" s="253" t="s">
        <v>88</v>
      </c>
      <c r="D803" s="254"/>
      <c r="E803" s="38">
        <f>SUM(E796:E802)</f>
        <v>3</v>
      </c>
      <c r="F803" s="160" t="s">
        <v>89</v>
      </c>
      <c r="G803" s="40">
        <f>SUM(G796:G802)</f>
        <v>4517.2413793103442</v>
      </c>
    </row>
    <row r="804" spans="2:7" x14ac:dyDescent="0.25">
      <c r="B804" s="158"/>
      <c r="C804" s="158"/>
      <c r="D804" s="158"/>
      <c r="E804" s="158"/>
      <c r="F804" s="160" t="s">
        <v>90</v>
      </c>
      <c r="G804" s="40">
        <f>G803*16%</f>
        <v>722.75862068965512</v>
      </c>
    </row>
    <row r="805" spans="2:7" x14ac:dyDescent="0.25">
      <c r="B805" s="160" t="s">
        <v>91</v>
      </c>
      <c r="C805" s="241" t="str">
        <f>IFERROR(VLOOKUP(D787,'DATOS REGISTRADOS'!B:R,17,FALSE)," ")</f>
        <v>Teresa Rivera Cortez</v>
      </c>
      <c r="D805" s="252"/>
      <c r="E805" s="242"/>
      <c r="F805" s="160" t="s">
        <v>57</v>
      </c>
      <c r="G805" s="68">
        <f>SUM(G803:G804)</f>
        <v>5239.9999999999991</v>
      </c>
    </row>
    <row r="806" spans="2:7" x14ac:dyDescent="0.25">
      <c r="B806" s="245" t="s">
        <v>343</v>
      </c>
      <c r="C806" s="245"/>
      <c r="D806" s="245"/>
      <c r="E806" s="245"/>
      <c r="F806" s="245"/>
      <c r="G806" s="245"/>
    </row>
    <row r="807" spans="2:7" x14ac:dyDescent="0.25">
      <c r="B807" s="246" t="s">
        <v>124</v>
      </c>
      <c r="C807" s="247"/>
      <c r="D807" s="247"/>
      <c r="E807" s="247"/>
      <c r="F807" s="247"/>
      <c r="G807" s="248"/>
    </row>
    <row r="808" spans="2:7" x14ac:dyDescent="0.25">
      <c r="B808" s="54" t="s">
        <v>123</v>
      </c>
      <c r="C808" s="159"/>
      <c r="D808" s="245" t="s">
        <v>128</v>
      </c>
      <c r="E808" s="245"/>
      <c r="F808" s="245"/>
      <c r="G808" s="245"/>
    </row>
    <row r="811" spans="2:7" x14ac:dyDescent="0.25">
      <c r="B811" s="152"/>
      <c r="C811" s="152"/>
      <c r="D811" s="152"/>
      <c r="E811" s="152"/>
      <c r="F811" s="152"/>
      <c r="G811" s="152"/>
    </row>
    <row r="812" spans="2:7" x14ac:dyDescent="0.25">
      <c r="B812" s="152"/>
      <c r="C812" s="250" t="s">
        <v>22</v>
      </c>
      <c r="D812" s="250"/>
      <c r="E812" s="42"/>
      <c r="F812" s="250" t="s">
        <v>354</v>
      </c>
      <c r="G812" s="250"/>
    </row>
    <row r="813" spans="2:7" x14ac:dyDescent="0.25">
      <c r="B813" s="152"/>
      <c r="C813" s="251"/>
      <c r="D813" s="251"/>
      <c r="E813" s="152"/>
      <c r="F813" s="43"/>
      <c r="G813" s="152"/>
    </row>
    <row r="814" spans="2:7" x14ac:dyDescent="0.25">
      <c r="B814" s="152"/>
      <c r="C814" s="27" t="s">
        <v>77</v>
      </c>
      <c r="D814" s="120">
        <v>30</v>
      </c>
      <c r="E814" s="156" t="s">
        <v>125</v>
      </c>
      <c r="F814" s="56">
        <v>46</v>
      </c>
      <c r="G814" s="152"/>
    </row>
    <row r="815" spans="2:7" x14ac:dyDescent="0.25">
      <c r="B815" s="152"/>
      <c r="C815" s="29" t="s">
        <v>76</v>
      </c>
      <c r="D815" s="154">
        <f>IFERROR(VLOOKUP(D814,'DATOS REGISTRADOS'!B:Q,16,FALSE)," ")</f>
        <v>15</v>
      </c>
      <c r="E815" s="30" t="s">
        <v>78</v>
      </c>
      <c r="F815" s="31">
        <v>43580</v>
      </c>
      <c r="G815" s="152"/>
    </row>
    <row r="816" spans="2:7" x14ac:dyDescent="0.25">
      <c r="B816" s="256" t="s">
        <v>79</v>
      </c>
      <c r="C816" s="256"/>
      <c r="D816" s="256"/>
      <c r="E816" s="256"/>
      <c r="F816" s="256"/>
      <c r="G816" s="256"/>
    </row>
    <row r="817" spans="2:7" x14ac:dyDescent="0.25">
      <c r="B817" s="156" t="s">
        <v>80</v>
      </c>
      <c r="C817" s="257" t="str">
        <f>IFERROR(VLOOKUP(D814,'DATOS REGISTRADOS'!B:C,2,FALSE)," ")</f>
        <v>Marina Concepcion Salazar Soto</v>
      </c>
      <c r="D817" s="257"/>
      <c r="E817" s="258"/>
      <c r="F817" s="258"/>
      <c r="G817" s="258"/>
    </row>
    <row r="818" spans="2:7" x14ac:dyDescent="0.25">
      <c r="B818" s="153" t="s">
        <v>81</v>
      </c>
      <c r="C818" s="259" t="str">
        <f>IFERROR(VLOOKUP(D814,'DATOS REGISTRADOS'!B:Q,3,FALSE)," ")</f>
        <v>cama de piedra 641A entre ahora o nunca y cuco sanchez</v>
      </c>
      <c r="D818" s="260"/>
      <c r="E818" s="35" t="s">
        <v>82</v>
      </c>
      <c r="F818" s="261">
        <f>IFERROR(VLOOKUP(D814,'DATOS REGISTRADOS'!B:Q,7,FALSE)," ")</f>
        <v>8184665770</v>
      </c>
      <c r="G818" s="261"/>
    </row>
    <row r="819" spans="2:7" x14ac:dyDescent="0.25">
      <c r="B819" s="152"/>
      <c r="C819" s="243" t="str">
        <f>IFERROR(VLOOKUP(D814,'DATOS REGISTRADOS'!B:Q,4,FALSE)," ")</f>
        <v>fraccionamientocantoral 2 sector</v>
      </c>
      <c r="D819" s="244"/>
      <c r="E819" s="152"/>
      <c r="F819" s="152"/>
      <c r="G819" s="152"/>
    </row>
    <row r="820" spans="2:7" x14ac:dyDescent="0.25">
      <c r="B820" s="152"/>
      <c r="C820" s="66" t="str">
        <f>IFERROR(VLOOKUP(D814,'DATOS REGISTRADOS'!B:Q,5,FALSE)," ")</f>
        <v>Pesqueria Nuevo Leon</v>
      </c>
      <c r="D820" s="67">
        <f>IFERROR(VLOOKUP(D814,'DATOS REGISTRADOS'!B:Q,6,FALSE)," ")</f>
        <v>66673</v>
      </c>
      <c r="E820" s="152"/>
      <c r="F820" s="152"/>
      <c r="G820" s="152"/>
    </row>
    <row r="821" spans="2:7" x14ac:dyDescent="0.25">
      <c r="B821" s="256" t="s">
        <v>83</v>
      </c>
      <c r="C821" s="262"/>
      <c r="D821" s="262"/>
      <c r="E821" s="256"/>
      <c r="F821" s="256"/>
      <c r="G821" s="256"/>
    </row>
    <row r="822" spans="2:7" x14ac:dyDescent="0.25">
      <c r="B822" s="156" t="s">
        <v>84</v>
      </c>
      <c r="C822" s="249" t="s">
        <v>85</v>
      </c>
      <c r="D822" s="249"/>
      <c r="E822" s="156" t="s">
        <v>86</v>
      </c>
      <c r="F822" s="156" t="s">
        <v>87</v>
      </c>
      <c r="G822" s="156" t="s">
        <v>57</v>
      </c>
    </row>
    <row r="823" spans="2:7" x14ac:dyDescent="0.25">
      <c r="B823" s="120" t="s">
        <v>126</v>
      </c>
      <c r="C823" s="241" t="str">
        <f>IFERROR(VLOOKUP(B823,'Productos '!B:C,2,FALSE)," ")</f>
        <v>Recompra 1 Activador Celular</v>
      </c>
      <c r="D823" s="242"/>
      <c r="E823" s="120">
        <v>1</v>
      </c>
      <c r="F823" s="40">
        <f>IFERROR(VLOOKUP(B823,'Productos '!B:G,3,FALSE)," ")</f>
        <v>431.0344827586207</v>
      </c>
      <c r="G823" s="40">
        <f>IFERROR((F823*E823)," ")</f>
        <v>431.0344827586207</v>
      </c>
    </row>
    <row r="824" spans="2:7" x14ac:dyDescent="0.25">
      <c r="B824" s="120"/>
      <c r="C824" s="241" t="str">
        <f>IFERROR(VLOOKUP(B824,'Productos '!B:C,2,FALSE)," ")</f>
        <v xml:space="preserve"> </v>
      </c>
      <c r="D824" s="242"/>
      <c r="E824" s="120"/>
      <c r="F824" s="40" t="str">
        <f>IFERROR(VLOOKUP(B824,'Productos '!B:G,3,FALSE)," ")</f>
        <v xml:space="preserve"> </v>
      </c>
      <c r="G824" s="40" t="str">
        <f t="shared" ref="G824:G829" si="30">IFERROR((F824*E824)," ")</f>
        <v xml:space="preserve"> </v>
      </c>
    </row>
    <row r="825" spans="2:7" x14ac:dyDescent="0.25">
      <c r="B825" s="120"/>
      <c r="C825" s="241" t="str">
        <f>IFERROR(VLOOKUP(B825,'Productos '!B:C,2,FALSE)," ")</f>
        <v xml:space="preserve"> </v>
      </c>
      <c r="D825" s="242"/>
      <c r="E825" s="120"/>
      <c r="F825" s="40" t="str">
        <f>IFERROR(VLOOKUP(B825,'Productos '!B:G,3,FALSE)," ")</f>
        <v xml:space="preserve"> </v>
      </c>
      <c r="G825" s="40" t="str">
        <f t="shared" si="30"/>
        <v xml:space="preserve"> </v>
      </c>
    </row>
    <row r="826" spans="2:7" x14ac:dyDescent="0.25">
      <c r="B826" s="120"/>
      <c r="C826" s="241" t="str">
        <f>IFERROR(VLOOKUP(B826,'Productos '!B:C,2,FALSE)," ")</f>
        <v xml:space="preserve"> </v>
      </c>
      <c r="D826" s="242"/>
      <c r="E826" s="120"/>
      <c r="F826" s="40" t="str">
        <f>IFERROR(VLOOKUP(B826,'Productos '!B:G,3,FALSE)," ")</f>
        <v xml:space="preserve"> </v>
      </c>
      <c r="G826" s="40" t="str">
        <f t="shared" si="30"/>
        <v xml:space="preserve"> </v>
      </c>
    </row>
    <row r="827" spans="2:7" x14ac:dyDescent="0.25">
      <c r="B827" s="120"/>
      <c r="C827" s="241" t="str">
        <f>IFERROR(VLOOKUP(B827,'Productos '!B:C,2,FALSE)," ")</f>
        <v xml:space="preserve"> </v>
      </c>
      <c r="D827" s="242"/>
      <c r="E827" s="120"/>
      <c r="F827" s="40" t="str">
        <f>IFERROR(VLOOKUP(B827,'Productos '!B:G,3,FALSE)," ")</f>
        <v xml:space="preserve"> </v>
      </c>
      <c r="G827" s="40" t="str">
        <f t="shared" si="30"/>
        <v xml:space="preserve"> </v>
      </c>
    </row>
    <row r="828" spans="2:7" x14ac:dyDescent="0.25">
      <c r="B828" s="120"/>
      <c r="C828" s="241" t="str">
        <f>IFERROR(VLOOKUP(B828,'Productos '!B:C,2,FALSE)," ")</f>
        <v xml:space="preserve"> </v>
      </c>
      <c r="D828" s="242"/>
      <c r="E828" s="120"/>
      <c r="F828" s="40" t="str">
        <f>IFERROR(VLOOKUP(B828,'Productos '!B:G,3,FALSE)," ")</f>
        <v xml:space="preserve"> </v>
      </c>
      <c r="G828" s="40" t="str">
        <f t="shared" si="30"/>
        <v xml:space="preserve"> </v>
      </c>
    </row>
    <row r="829" spans="2:7" x14ac:dyDescent="0.25">
      <c r="B829" s="120"/>
      <c r="C829" s="241" t="str">
        <f>IFERROR(VLOOKUP(B829,'Productos '!B:C,2,FALSE)," ")</f>
        <v xml:space="preserve"> </v>
      </c>
      <c r="D829" s="242"/>
      <c r="E829" s="120"/>
      <c r="F829" s="40" t="str">
        <f>IFERROR(VLOOKUP(B829,'Productos '!B:G,3,FALSE)," ")</f>
        <v xml:space="preserve"> </v>
      </c>
      <c r="G829" s="40" t="str">
        <f t="shared" si="30"/>
        <v xml:space="preserve"> </v>
      </c>
    </row>
    <row r="830" spans="2:7" x14ac:dyDescent="0.25">
      <c r="B830" s="152"/>
      <c r="C830" s="253" t="s">
        <v>88</v>
      </c>
      <c r="D830" s="254"/>
      <c r="E830" s="38">
        <f>SUM(E823:E829)</f>
        <v>1</v>
      </c>
      <c r="F830" s="156" t="s">
        <v>89</v>
      </c>
      <c r="G830" s="40">
        <f>SUM(G823:G829)</f>
        <v>431.0344827586207</v>
      </c>
    </row>
    <row r="831" spans="2:7" x14ac:dyDescent="0.25">
      <c r="B831" s="152"/>
      <c r="C831" s="152"/>
      <c r="D831" s="152"/>
      <c r="E831" s="152"/>
      <c r="F831" s="156" t="s">
        <v>90</v>
      </c>
      <c r="G831" s="40">
        <f>G830*16%</f>
        <v>68.965517241379317</v>
      </c>
    </row>
    <row r="832" spans="2:7" x14ac:dyDescent="0.25">
      <c r="B832" s="156" t="s">
        <v>91</v>
      </c>
      <c r="C832" s="241" t="str">
        <f>IFERROR(VLOOKUP(D814,'DATOS REGISTRADOS'!B:R,17,FALSE)," ")</f>
        <v>Celia Salazar Soto</v>
      </c>
      <c r="D832" s="252"/>
      <c r="E832" s="242"/>
      <c r="F832" s="156" t="s">
        <v>57</v>
      </c>
      <c r="G832" s="68">
        <f>SUM(G830:G831)</f>
        <v>500</v>
      </c>
    </row>
    <row r="833" spans="2:7" x14ac:dyDescent="0.25">
      <c r="B833" s="245" t="s">
        <v>343</v>
      </c>
      <c r="C833" s="245"/>
      <c r="D833" s="245"/>
      <c r="E833" s="245"/>
      <c r="F833" s="245"/>
      <c r="G833" s="245"/>
    </row>
    <row r="834" spans="2:7" x14ac:dyDescent="0.25">
      <c r="B834" s="246" t="s">
        <v>124</v>
      </c>
      <c r="C834" s="247"/>
      <c r="D834" s="247"/>
      <c r="E834" s="247"/>
      <c r="F834" s="247"/>
      <c r="G834" s="248"/>
    </row>
    <row r="835" spans="2:7" x14ac:dyDescent="0.25">
      <c r="B835" s="54" t="s">
        <v>123</v>
      </c>
      <c r="C835" s="155"/>
      <c r="D835" s="245" t="s">
        <v>128</v>
      </c>
      <c r="E835" s="245"/>
      <c r="F835" s="245"/>
      <c r="G835" s="245"/>
    </row>
    <row r="838" spans="2:7" x14ac:dyDescent="0.25">
      <c r="B838" s="150"/>
      <c r="C838" s="150"/>
      <c r="D838" s="150"/>
      <c r="E838" s="150"/>
      <c r="F838" s="150"/>
      <c r="G838" s="150"/>
    </row>
    <row r="839" spans="2:7" x14ac:dyDescent="0.25">
      <c r="B839" s="150"/>
      <c r="C839" s="250" t="s">
        <v>22</v>
      </c>
      <c r="D839" s="250"/>
      <c r="E839" s="42"/>
      <c r="F839" s="150"/>
      <c r="G839" s="150"/>
    </row>
    <row r="840" spans="2:7" x14ac:dyDescent="0.25">
      <c r="B840" s="150"/>
      <c r="C840" s="251"/>
      <c r="D840" s="251"/>
      <c r="E840" s="150"/>
      <c r="F840" s="43"/>
      <c r="G840" s="150"/>
    </row>
    <row r="841" spans="2:7" x14ac:dyDescent="0.25">
      <c r="B841" s="150"/>
      <c r="C841" s="27" t="s">
        <v>77</v>
      </c>
      <c r="D841" s="120">
        <v>35</v>
      </c>
      <c r="E841" s="149" t="s">
        <v>125</v>
      </c>
      <c r="F841" s="56">
        <v>45</v>
      </c>
      <c r="G841" s="150"/>
    </row>
    <row r="842" spans="2:7" x14ac:dyDescent="0.25">
      <c r="B842" s="150"/>
      <c r="C842" s="29" t="s">
        <v>76</v>
      </c>
      <c r="D842" s="147">
        <f>IFERROR(VLOOKUP(D841,'DATOS REGISTRADOS'!B:Q,16,FALSE)," ")</f>
        <v>30</v>
      </c>
      <c r="E842" s="30" t="s">
        <v>78</v>
      </c>
      <c r="F842" s="31">
        <v>43577</v>
      </c>
      <c r="G842" s="150"/>
    </row>
    <row r="843" spans="2:7" x14ac:dyDescent="0.25">
      <c r="B843" s="256" t="s">
        <v>79</v>
      </c>
      <c r="C843" s="256"/>
      <c r="D843" s="256"/>
      <c r="E843" s="256"/>
      <c r="F843" s="256"/>
      <c r="G843" s="256"/>
    </row>
    <row r="844" spans="2:7" x14ac:dyDescent="0.25">
      <c r="B844" s="149" t="s">
        <v>80</v>
      </c>
      <c r="C844" s="257" t="str">
        <f>IFERROR(VLOOKUP(D841,'DATOS REGISTRADOS'!B:C,2,FALSE)," ")</f>
        <v>Ezequiel Francisco Maldonado Martinez</v>
      </c>
      <c r="D844" s="257"/>
      <c r="E844" s="258"/>
      <c r="F844" s="258"/>
      <c r="G844" s="258"/>
    </row>
    <row r="845" spans="2:7" x14ac:dyDescent="0.25">
      <c r="B845" s="151" t="s">
        <v>81</v>
      </c>
      <c r="C845" s="259" t="str">
        <f>IFERROR(VLOOKUP(D841,'DATOS REGISTRADOS'!B:Q,3,FALSE)," ")</f>
        <v>calle martha #332 fraccionamiento los candiles</v>
      </c>
      <c r="D845" s="260"/>
      <c r="E845" s="35" t="s">
        <v>82</v>
      </c>
      <c r="F845" s="261" t="str">
        <f>IFERROR(VLOOKUP(D841,'DATOS REGISTRADOS'!B:Q,7,FALSE)," ")</f>
        <v>8184665770 (marina salazar upline)</v>
      </c>
      <c r="G845" s="261"/>
    </row>
    <row r="846" spans="2:7" x14ac:dyDescent="0.25">
      <c r="B846" s="150"/>
      <c r="C846" s="243" t="str">
        <f>IFERROR(VLOOKUP(D841,'DATOS REGISTRADOS'!B:Q,4,FALSE)," ")</f>
        <v>entre calle dalia e Ignacio Villareal</v>
      </c>
      <c r="D846" s="244"/>
      <c r="E846" s="150"/>
      <c r="F846" s="150"/>
      <c r="G846" s="150"/>
    </row>
    <row r="847" spans="2:7" x14ac:dyDescent="0.25">
      <c r="B847" s="150"/>
      <c r="C847" s="66" t="str">
        <f>IFERROR(VLOOKUP(D841,'DATOS REGISTRADOS'!B:Q,5,FALSE)," ")</f>
        <v>Apodaca, NL</v>
      </c>
      <c r="D847" s="67">
        <f>IFERROR(VLOOKUP(D841,'DATOS REGISTRADOS'!B:Q,6,FALSE)," ")</f>
        <v>66647</v>
      </c>
      <c r="E847" s="150"/>
      <c r="F847" s="150"/>
      <c r="G847" s="150"/>
    </row>
    <row r="848" spans="2:7" x14ac:dyDescent="0.25">
      <c r="B848" s="256" t="s">
        <v>83</v>
      </c>
      <c r="C848" s="262"/>
      <c r="D848" s="262"/>
      <c r="E848" s="256"/>
      <c r="F848" s="256"/>
      <c r="G848" s="256"/>
    </row>
    <row r="849" spans="2:7" x14ac:dyDescent="0.25">
      <c r="B849" s="149" t="s">
        <v>84</v>
      </c>
      <c r="C849" s="249" t="s">
        <v>85</v>
      </c>
      <c r="D849" s="249"/>
      <c r="E849" s="149" t="s">
        <v>86</v>
      </c>
      <c r="F849" s="149" t="s">
        <v>87</v>
      </c>
      <c r="G849" s="149" t="s">
        <v>57</v>
      </c>
    </row>
    <row r="850" spans="2:7" x14ac:dyDescent="0.25">
      <c r="B850" s="120" t="s">
        <v>126</v>
      </c>
      <c r="C850" s="241" t="str">
        <f>IFERROR(VLOOKUP(B850,'Productos '!B:C,2,FALSE)," ")</f>
        <v>Recompra 1 Activador Celular</v>
      </c>
      <c r="D850" s="242"/>
      <c r="E850" s="120">
        <v>1</v>
      </c>
      <c r="F850" s="40">
        <f>IFERROR(VLOOKUP(B850,'Productos '!B:G,3,FALSE)," ")</f>
        <v>431.0344827586207</v>
      </c>
      <c r="G850" s="40">
        <f>IFERROR((F850*E850)," ")</f>
        <v>431.0344827586207</v>
      </c>
    </row>
    <row r="851" spans="2:7" x14ac:dyDescent="0.25">
      <c r="B851" s="120"/>
      <c r="C851" s="241" t="str">
        <f>IFERROR(VLOOKUP(B851,'Productos '!B:C,2,FALSE)," ")</f>
        <v xml:space="preserve"> </v>
      </c>
      <c r="D851" s="242"/>
      <c r="E851" s="120"/>
      <c r="F851" s="40" t="str">
        <f>IFERROR(VLOOKUP(B851,'Productos '!B:G,3,FALSE)," ")</f>
        <v xml:space="preserve"> </v>
      </c>
      <c r="G851" s="40" t="str">
        <f t="shared" ref="G851:G856" si="31">IFERROR((F851*E851)," ")</f>
        <v xml:space="preserve"> </v>
      </c>
    </row>
    <row r="852" spans="2:7" x14ac:dyDescent="0.25">
      <c r="B852" s="120"/>
      <c r="C852" s="241" t="str">
        <f>IFERROR(VLOOKUP(B852,'Productos '!B:C,2,FALSE)," ")</f>
        <v xml:space="preserve"> </v>
      </c>
      <c r="D852" s="242"/>
      <c r="E852" s="120"/>
      <c r="F852" s="40" t="str">
        <f>IFERROR(VLOOKUP(B852,'Productos '!B:G,3,FALSE)," ")</f>
        <v xml:space="preserve"> </v>
      </c>
      <c r="G852" s="40" t="str">
        <f t="shared" si="31"/>
        <v xml:space="preserve"> </v>
      </c>
    </row>
    <row r="853" spans="2:7" x14ac:dyDescent="0.25">
      <c r="B853" s="120"/>
      <c r="C853" s="241" t="str">
        <f>IFERROR(VLOOKUP(B853,'Productos '!B:C,2,FALSE)," ")</f>
        <v xml:space="preserve"> </v>
      </c>
      <c r="D853" s="242"/>
      <c r="E853" s="120"/>
      <c r="F853" s="40" t="str">
        <f>IFERROR(VLOOKUP(B853,'Productos '!B:G,3,FALSE)," ")</f>
        <v xml:space="preserve"> </v>
      </c>
      <c r="G853" s="40" t="str">
        <f t="shared" si="31"/>
        <v xml:space="preserve"> </v>
      </c>
    </row>
    <row r="854" spans="2:7" x14ac:dyDescent="0.25">
      <c r="B854" s="120"/>
      <c r="C854" s="241" t="str">
        <f>IFERROR(VLOOKUP(B854,'Productos '!B:C,2,FALSE)," ")</f>
        <v xml:space="preserve"> </v>
      </c>
      <c r="D854" s="242"/>
      <c r="E854" s="120"/>
      <c r="F854" s="40" t="str">
        <f>IFERROR(VLOOKUP(B854,'Productos '!B:G,3,FALSE)," ")</f>
        <v xml:space="preserve"> </v>
      </c>
      <c r="G854" s="40" t="str">
        <f t="shared" si="31"/>
        <v xml:space="preserve"> </v>
      </c>
    </row>
    <row r="855" spans="2:7" x14ac:dyDescent="0.25">
      <c r="B855" s="120"/>
      <c r="C855" s="241" t="str">
        <f>IFERROR(VLOOKUP(B855,'Productos '!B:C,2,FALSE)," ")</f>
        <v xml:space="preserve"> </v>
      </c>
      <c r="D855" s="242"/>
      <c r="E855" s="120"/>
      <c r="F855" s="40" t="str">
        <f>IFERROR(VLOOKUP(B855,'Productos '!B:G,3,FALSE)," ")</f>
        <v xml:space="preserve"> </v>
      </c>
      <c r="G855" s="40" t="str">
        <f t="shared" si="31"/>
        <v xml:space="preserve"> </v>
      </c>
    </row>
    <row r="856" spans="2:7" x14ac:dyDescent="0.25">
      <c r="B856" s="120"/>
      <c r="C856" s="241" t="str">
        <f>IFERROR(VLOOKUP(B856,'Productos '!B:C,2,FALSE)," ")</f>
        <v xml:space="preserve"> </v>
      </c>
      <c r="D856" s="242"/>
      <c r="E856" s="120"/>
      <c r="F856" s="40" t="str">
        <f>IFERROR(VLOOKUP(B856,'Productos '!B:G,3,FALSE)," ")</f>
        <v xml:space="preserve"> </v>
      </c>
      <c r="G856" s="40" t="str">
        <f t="shared" si="31"/>
        <v xml:space="preserve"> </v>
      </c>
    </row>
    <row r="857" spans="2:7" x14ac:dyDescent="0.25">
      <c r="B857" s="150"/>
      <c r="C857" s="253" t="s">
        <v>88</v>
      </c>
      <c r="D857" s="254"/>
      <c r="E857" s="38">
        <f>SUM(E850:E856)</f>
        <v>1</v>
      </c>
      <c r="F857" s="149" t="s">
        <v>89</v>
      </c>
      <c r="G857" s="40">
        <f>SUM(G850:G856)</f>
        <v>431.0344827586207</v>
      </c>
    </row>
    <row r="858" spans="2:7" x14ac:dyDescent="0.25">
      <c r="B858" s="150"/>
      <c r="C858" s="150"/>
      <c r="D858" s="150"/>
      <c r="E858" s="150"/>
      <c r="F858" s="149" t="s">
        <v>90</v>
      </c>
      <c r="G858" s="40">
        <f>G857*16%</f>
        <v>68.965517241379317</v>
      </c>
    </row>
    <row r="859" spans="2:7" x14ac:dyDescent="0.25">
      <c r="B859" s="149" t="s">
        <v>91</v>
      </c>
      <c r="C859" s="241" t="str">
        <f>IFERROR(VLOOKUP(D841,'DATOS REGISTRADOS'!B:R,17,FALSE)," ")</f>
        <v>Marina Concepcion Salazar Soto</v>
      </c>
      <c r="D859" s="252"/>
      <c r="E859" s="242"/>
      <c r="F859" s="149" t="s">
        <v>57</v>
      </c>
      <c r="G859" s="68">
        <f>SUM(G857:G858)</f>
        <v>500</v>
      </c>
    </row>
    <row r="860" spans="2:7" x14ac:dyDescent="0.25">
      <c r="B860" s="245" t="s">
        <v>343</v>
      </c>
      <c r="C860" s="245"/>
      <c r="D860" s="245"/>
      <c r="E860" s="245"/>
      <c r="F860" s="245"/>
      <c r="G860" s="245"/>
    </row>
    <row r="861" spans="2:7" x14ac:dyDescent="0.25">
      <c r="B861" s="246" t="s">
        <v>124</v>
      </c>
      <c r="C861" s="247"/>
      <c r="D861" s="247"/>
      <c r="E861" s="247"/>
      <c r="F861" s="247"/>
      <c r="G861" s="248"/>
    </row>
    <row r="862" spans="2:7" x14ac:dyDescent="0.25">
      <c r="B862" s="54" t="s">
        <v>123</v>
      </c>
      <c r="C862" s="148"/>
      <c r="D862" s="245" t="s">
        <v>128</v>
      </c>
      <c r="E862" s="245"/>
      <c r="F862" s="245"/>
      <c r="G862" s="245"/>
    </row>
    <row r="865" spans="2:7" x14ac:dyDescent="0.25">
      <c r="B865" s="150"/>
      <c r="C865" s="150"/>
      <c r="D865" s="150"/>
      <c r="E865" s="150"/>
      <c r="F865" s="150"/>
      <c r="G865" s="150"/>
    </row>
    <row r="866" spans="2:7" x14ac:dyDescent="0.25">
      <c r="B866" s="150"/>
      <c r="C866" s="250" t="s">
        <v>22</v>
      </c>
      <c r="D866" s="250"/>
      <c r="E866" s="42"/>
      <c r="F866" s="150"/>
      <c r="G866" s="150"/>
    </row>
    <row r="867" spans="2:7" x14ac:dyDescent="0.25">
      <c r="B867" s="150"/>
      <c r="C867" s="251"/>
      <c r="D867" s="251"/>
      <c r="E867" s="150"/>
      <c r="F867" s="43"/>
      <c r="G867" s="150"/>
    </row>
    <row r="868" spans="2:7" x14ac:dyDescent="0.25">
      <c r="B868" s="150"/>
      <c r="C868" s="27" t="s">
        <v>77</v>
      </c>
      <c r="D868" s="120">
        <v>20</v>
      </c>
      <c r="E868" s="149" t="s">
        <v>125</v>
      </c>
      <c r="F868" s="56">
        <v>44</v>
      </c>
      <c r="G868" s="150"/>
    </row>
    <row r="869" spans="2:7" x14ac:dyDescent="0.25">
      <c r="B869" s="150"/>
      <c r="C869" s="29" t="s">
        <v>76</v>
      </c>
      <c r="D869" s="147">
        <f>IFERROR(VLOOKUP(D868,'DATOS REGISTRADOS'!B:Q,16,FALSE)," ")</f>
        <v>15</v>
      </c>
      <c r="E869" s="30" t="s">
        <v>78</v>
      </c>
      <c r="F869" s="31">
        <v>43577</v>
      </c>
      <c r="G869" s="150"/>
    </row>
    <row r="870" spans="2:7" x14ac:dyDescent="0.25">
      <c r="B870" s="256" t="s">
        <v>79</v>
      </c>
      <c r="C870" s="256"/>
      <c r="D870" s="256"/>
      <c r="E870" s="256"/>
      <c r="F870" s="256"/>
      <c r="G870" s="256"/>
    </row>
    <row r="871" spans="2:7" x14ac:dyDescent="0.25">
      <c r="B871" s="149" t="s">
        <v>80</v>
      </c>
      <c r="C871" s="257" t="str">
        <f>IFERROR(VLOOKUP(D868,'DATOS REGISTRADOS'!B:C,2,FALSE)," ")</f>
        <v>María amparo Basurto badillo</v>
      </c>
      <c r="D871" s="257"/>
      <c r="E871" s="258"/>
      <c r="F871" s="258"/>
      <c r="G871" s="258"/>
    </row>
    <row r="872" spans="2:7" x14ac:dyDescent="0.25">
      <c r="B872" s="151" t="s">
        <v>81</v>
      </c>
      <c r="C872" s="259" t="str">
        <f>IFERROR(VLOOKUP(D868,'DATOS REGISTRADOS'!B:Q,3,FALSE)," ")</f>
        <v>Bugambilias #204</v>
      </c>
      <c r="D872" s="260"/>
      <c r="E872" s="35" t="s">
        <v>82</v>
      </c>
      <c r="F872" s="263" t="str">
        <f>IFERROR(VLOOKUP(D868,'DATOS REGISTRADOS'!B:Q,7,FALSE)," ")</f>
        <v xml:space="preserve"> </v>
      </c>
      <c r="G872" s="263"/>
    </row>
    <row r="873" spans="2:7" x14ac:dyDescent="0.25">
      <c r="B873" s="150"/>
      <c r="C873" s="243" t="str">
        <f>IFERROR(VLOOKUP(D868,'DATOS REGISTRADOS'!B:Q,4,FALSE)," ")</f>
        <v>Col industrial del vidrio 1er sector ampliación oriente</v>
      </c>
      <c r="D873" s="244"/>
      <c r="E873" s="150"/>
      <c r="F873" s="150"/>
      <c r="G873" s="150"/>
    </row>
    <row r="874" spans="2:7" x14ac:dyDescent="0.25">
      <c r="B874" s="150"/>
      <c r="C874" s="66" t="str">
        <f>IFERROR(VLOOKUP(D868,'DATOS REGISTRADOS'!B:Q,5,FALSE)," ")</f>
        <v>NL</v>
      </c>
      <c r="D874" s="67">
        <f>IFERROR(VLOOKUP(D868,'DATOS REGISTRADOS'!B:Q,6,FALSE)," ")</f>
        <v>66470</v>
      </c>
      <c r="E874" s="150"/>
      <c r="F874" s="150"/>
      <c r="G874" s="150"/>
    </row>
    <row r="875" spans="2:7" x14ac:dyDescent="0.25">
      <c r="B875" s="256" t="s">
        <v>83</v>
      </c>
      <c r="C875" s="262"/>
      <c r="D875" s="262"/>
      <c r="E875" s="256"/>
      <c r="F875" s="256"/>
      <c r="G875" s="256"/>
    </row>
    <row r="876" spans="2:7" x14ac:dyDescent="0.25">
      <c r="B876" s="149" t="s">
        <v>84</v>
      </c>
      <c r="C876" s="249" t="s">
        <v>85</v>
      </c>
      <c r="D876" s="249"/>
      <c r="E876" s="149" t="s">
        <v>86</v>
      </c>
      <c r="F876" s="149" t="s">
        <v>87</v>
      </c>
      <c r="G876" s="149" t="s">
        <v>57</v>
      </c>
    </row>
    <row r="877" spans="2:7" x14ac:dyDescent="0.25">
      <c r="B877" s="120" t="s">
        <v>126</v>
      </c>
      <c r="C877" s="241" t="str">
        <f>IFERROR(VLOOKUP(B877,'Productos '!B:C,2,FALSE)," ")</f>
        <v>Recompra 1 Activador Celular</v>
      </c>
      <c r="D877" s="242"/>
      <c r="E877" s="120">
        <v>1</v>
      </c>
      <c r="F877" s="40">
        <f>IFERROR(VLOOKUP(B877,'Productos '!B:G,3,FALSE)," ")</f>
        <v>431.0344827586207</v>
      </c>
      <c r="G877" s="40">
        <f>IFERROR((F877*E877)," ")</f>
        <v>431.0344827586207</v>
      </c>
    </row>
    <row r="878" spans="2:7" x14ac:dyDescent="0.25">
      <c r="B878" s="120" t="s">
        <v>323</v>
      </c>
      <c r="C878" s="241" t="str">
        <f>IFERROR(VLOOKUP(B878,'Productos '!B:C,2,FALSE)," ")</f>
        <v>Promoción ActiCell</v>
      </c>
      <c r="D878" s="242"/>
      <c r="E878" s="120">
        <v>3</v>
      </c>
      <c r="F878" s="40">
        <f>IFERROR(VLOOKUP(B878,'Productos '!B:G,3,FALSE)," ")</f>
        <v>301.72413793103448</v>
      </c>
      <c r="G878" s="40">
        <f t="shared" ref="G878:G883" si="32">IFERROR((F878*E878)," ")</f>
        <v>905.17241379310349</v>
      </c>
    </row>
    <row r="879" spans="2:7" x14ac:dyDescent="0.25">
      <c r="B879" s="120"/>
      <c r="C879" s="241" t="str">
        <f>IFERROR(VLOOKUP(B879,'Productos '!B:C,2,FALSE)," ")</f>
        <v xml:space="preserve"> </v>
      </c>
      <c r="D879" s="242"/>
      <c r="E879" s="120"/>
      <c r="F879" s="40" t="str">
        <f>IFERROR(VLOOKUP(B879,'Productos '!B:G,3,FALSE)," ")</f>
        <v xml:space="preserve"> </v>
      </c>
      <c r="G879" s="40" t="str">
        <f t="shared" si="32"/>
        <v xml:space="preserve"> </v>
      </c>
    </row>
    <row r="880" spans="2:7" x14ac:dyDescent="0.25">
      <c r="B880" s="120"/>
      <c r="C880" s="241" t="str">
        <f>IFERROR(VLOOKUP(B880,'Productos '!B:C,2,FALSE)," ")</f>
        <v xml:space="preserve"> </v>
      </c>
      <c r="D880" s="242"/>
      <c r="E880" s="120"/>
      <c r="F880" s="40" t="str">
        <f>IFERROR(VLOOKUP(B880,'Productos '!B:G,3,FALSE)," ")</f>
        <v xml:space="preserve"> </v>
      </c>
      <c r="G880" s="40" t="str">
        <f t="shared" si="32"/>
        <v xml:space="preserve"> </v>
      </c>
    </row>
    <row r="881" spans="2:7" x14ac:dyDescent="0.25">
      <c r="B881" s="120"/>
      <c r="C881" s="241" t="str">
        <f>IFERROR(VLOOKUP(B881,'Productos '!B:C,2,FALSE)," ")</f>
        <v xml:space="preserve"> </v>
      </c>
      <c r="D881" s="242"/>
      <c r="E881" s="120"/>
      <c r="F881" s="40" t="str">
        <f>IFERROR(VLOOKUP(B881,'Productos '!B:G,3,FALSE)," ")</f>
        <v xml:space="preserve"> </v>
      </c>
      <c r="G881" s="40" t="str">
        <f t="shared" si="32"/>
        <v xml:space="preserve"> </v>
      </c>
    </row>
    <row r="882" spans="2:7" x14ac:dyDescent="0.25">
      <c r="B882" s="120"/>
      <c r="C882" s="241" t="str">
        <f>IFERROR(VLOOKUP(B882,'Productos '!B:C,2,FALSE)," ")</f>
        <v xml:space="preserve"> </v>
      </c>
      <c r="D882" s="242"/>
      <c r="E882" s="120"/>
      <c r="F882" s="40" t="str">
        <f>IFERROR(VLOOKUP(B882,'Productos '!B:G,3,FALSE)," ")</f>
        <v xml:space="preserve"> </v>
      </c>
      <c r="G882" s="40" t="str">
        <f t="shared" si="32"/>
        <v xml:space="preserve"> </v>
      </c>
    </row>
    <row r="883" spans="2:7" x14ac:dyDescent="0.25">
      <c r="B883" s="120"/>
      <c r="C883" s="241" t="str">
        <f>IFERROR(VLOOKUP(B883,'Productos '!B:C,2,FALSE)," ")</f>
        <v xml:space="preserve"> </v>
      </c>
      <c r="D883" s="242"/>
      <c r="E883" s="120"/>
      <c r="F883" s="40" t="str">
        <f>IFERROR(VLOOKUP(B883,'Productos '!B:G,3,FALSE)," ")</f>
        <v xml:space="preserve"> </v>
      </c>
      <c r="G883" s="40" t="str">
        <f t="shared" si="32"/>
        <v xml:space="preserve"> </v>
      </c>
    </row>
    <row r="884" spans="2:7" x14ac:dyDescent="0.25">
      <c r="B884" s="150"/>
      <c r="C884" s="253" t="s">
        <v>88</v>
      </c>
      <c r="D884" s="254"/>
      <c r="E884" s="38">
        <f>SUM(E877:E883)</f>
        <v>4</v>
      </c>
      <c r="F884" s="149" t="s">
        <v>89</v>
      </c>
      <c r="G884" s="40">
        <f>SUM(G877:G883)</f>
        <v>1336.2068965517242</v>
      </c>
    </row>
    <row r="885" spans="2:7" x14ac:dyDescent="0.25">
      <c r="B885" s="150"/>
      <c r="C885" s="150"/>
      <c r="D885" s="150"/>
      <c r="E885" s="150"/>
      <c r="F885" s="149" t="s">
        <v>90</v>
      </c>
      <c r="G885" s="40">
        <f>G884*16%</f>
        <v>213.79310344827587</v>
      </c>
    </row>
    <row r="886" spans="2:7" x14ac:dyDescent="0.25">
      <c r="B886" s="149" t="s">
        <v>91</v>
      </c>
      <c r="C886" s="241" t="str">
        <f>IFERROR(VLOOKUP(D868,'DATOS REGISTRADOS'!B:R,17,FALSE)," ")</f>
        <v>Celia Salazar Soto</v>
      </c>
      <c r="D886" s="252"/>
      <c r="E886" s="242"/>
      <c r="F886" s="149" t="s">
        <v>57</v>
      </c>
      <c r="G886" s="68">
        <f>SUM(G884:G885)</f>
        <v>1550</v>
      </c>
    </row>
    <row r="887" spans="2:7" x14ac:dyDescent="0.25">
      <c r="B887" s="245" t="s">
        <v>343</v>
      </c>
      <c r="C887" s="245"/>
      <c r="D887" s="245"/>
      <c r="E887" s="245"/>
      <c r="F887" s="245"/>
      <c r="G887" s="245"/>
    </row>
    <row r="888" spans="2:7" x14ac:dyDescent="0.25">
      <c r="B888" s="246" t="s">
        <v>124</v>
      </c>
      <c r="C888" s="247"/>
      <c r="D888" s="247"/>
      <c r="E888" s="247"/>
      <c r="F888" s="247"/>
      <c r="G888" s="248"/>
    </row>
    <row r="889" spans="2:7" x14ac:dyDescent="0.25">
      <c r="B889" s="54" t="s">
        <v>123</v>
      </c>
      <c r="C889" s="148"/>
      <c r="D889" s="245" t="s">
        <v>128</v>
      </c>
      <c r="E889" s="245"/>
      <c r="F889" s="245"/>
      <c r="G889" s="245"/>
    </row>
    <row r="892" spans="2:7" x14ac:dyDescent="0.25">
      <c r="B892" s="150"/>
      <c r="C892" s="150"/>
      <c r="D892" s="150"/>
      <c r="E892" s="150"/>
      <c r="F892" s="150"/>
      <c r="G892" s="150"/>
    </row>
    <row r="893" spans="2:7" x14ac:dyDescent="0.25">
      <c r="B893" s="150"/>
      <c r="C893" s="250" t="s">
        <v>22</v>
      </c>
      <c r="D893" s="250"/>
      <c r="E893" s="42"/>
      <c r="F893" s="150"/>
      <c r="G893" s="150"/>
    </row>
    <row r="894" spans="2:7" x14ac:dyDescent="0.25">
      <c r="B894" s="150"/>
      <c r="C894" s="251"/>
      <c r="D894" s="251"/>
      <c r="E894" s="150"/>
      <c r="F894" s="43"/>
      <c r="G894" s="150"/>
    </row>
    <row r="895" spans="2:7" x14ac:dyDescent="0.25">
      <c r="B895" s="150"/>
      <c r="C895" s="27" t="s">
        <v>77</v>
      </c>
      <c r="D895" s="120">
        <v>25</v>
      </c>
      <c r="E895" s="149" t="s">
        <v>125</v>
      </c>
      <c r="F895" s="56">
        <v>43</v>
      </c>
      <c r="G895" s="150"/>
    </row>
    <row r="896" spans="2:7" x14ac:dyDescent="0.25">
      <c r="B896" s="150"/>
      <c r="C896" s="29" t="s">
        <v>76</v>
      </c>
      <c r="D896" s="147">
        <f>IFERROR(VLOOKUP(D895,'DATOS REGISTRADOS'!B:Q,16,FALSE)," ")</f>
        <v>15</v>
      </c>
      <c r="E896" s="30" t="s">
        <v>78</v>
      </c>
      <c r="F896" s="31">
        <v>43571</v>
      </c>
      <c r="G896" s="150"/>
    </row>
    <row r="897" spans="2:7" x14ac:dyDescent="0.25">
      <c r="B897" s="256" t="s">
        <v>79</v>
      </c>
      <c r="C897" s="256"/>
      <c r="D897" s="256"/>
      <c r="E897" s="256"/>
      <c r="F897" s="256"/>
      <c r="G897" s="256"/>
    </row>
    <row r="898" spans="2:7" x14ac:dyDescent="0.25">
      <c r="B898" s="149" t="s">
        <v>80</v>
      </c>
      <c r="C898" s="257" t="str">
        <f>IFERROR(VLOOKUP(D895,'DATOS REGISTRADOS'!B:C,2,FALSE)," ")</f>
        <v>María de los angeles Martínez Villareal</v>
      </c>
      <c r="D898" s="257"/>
      <c r="E898" s="258"/>
      <c r="F898" s="258"/>
      <c r="G898" s="258"/>
    </row>
    <row r="899" spans="2:7" x14ac:dyDescent="0.25">
      <c r="B899" s="151" t="s">
        <v>81</v>
      </c>
      <c r="C899" s="259" t="str">
        <f>IFERROR(VLOOKUP(D895,'DATOS REGISTRADOS'!B:Q,3,FALSE)," ")</f>
        <v>Calle Ana Laura #329</v>
      </c>
      <c r="D899" s="260"/>
      <c r="E899" s="35" t="s">
        <v>82</v>
      </c>
      <c r="F899" s="263">
        <f>IFERROR(VLOOKUP(D895,'DATOS REGISTRADOS'!B:Q,7,FALSE)," ")</f>
        <v>8126877192</v>
      </c>
      <c r="G899" s="263"/>
    </row>
    <row r="900" spans="2:7" x14ac:dyDescent="0.25">
      <c r="B900" s="150"/>
      <c r="C900" s="243" t="str">
        <f>IFERROR(VLOOKUP(D895,'DATOS REGISTRADOS'!B:Q,4,FALSE)," ")</f>
        <v>Entre Idalia e Ignacio Villareal fraccionamiento los candiles</v>
      </c>
      <c r="D900" s="244"/>
      <c r="E900" s="150"/>
      <c r="F900" s="150"/>
      <c r="G900" s="150"/>
    </row>
    <row r="901" spans="2:7" x14ac:dyDescent="0.25">
      <c r="B901" s="150"/>
      <c r="C901" s="66" t="str">
        <f>IFERROR(VLOOKUP(D895,'DATOS REGISTRADOS'!B:Q,5,FALSE)," ")</f>
        <v>Nuevo León</v>
      </c>
      <c r="D901" s="67">
        <f>IFERROR(VLOOKUP(D895,'DATOS REGISTRADOS'!B:Q,6,FALSE)," ")</f>
        <v>66647</v>
      </c>
      <c r="E901" s="150"/>
      <c r="F901" s="150"/>
      <c r="G901" s="150"/>
    </row>
    <row r="902" spans="2:7" x14ac:dyDescent="0.25">
      <c r="B902" s="256" t="s">
        <v>83</v>
      </c>
      <c r="C902" s="262"/>
      <c r="D902" s="262"/>
      <c r="E902" s="256"/>
      <c r="F902" s="256"/>
      <c r="G902" s="256"/>
    </row>
    <row r="903" spans="2:7" x14ac:dyDescent="0.25">
      <c r="B903" s="149" t="s">
        <v>84</v>
      </c>
      <c r="C903" s="249" t="s">
        <v>85</v>
      </c>
      <c r="D903" s="249"/>
      <c r="E903" s="149" t="s">
        <v>86</v>
      </c>
      <c r="F903" s="149" t="s">
        <v>87</v>
      </c>
      <c r="G903" s="149" t="s">
        <v>57</v>
      </c>
    </row>
    <row r="904" spans="2:7" x14ac:dyDescent="0.25">
      <c r="B904" s="120" t="s">
        <v>126</v>
      </c>
      <c r="C904" s="241" t="str">
        <f>IFERROR(VLOOKUP(B904,'Productos '!B:C,2,FALSE)," ")</f>
        <v>Recompra 1 Activador Celular</v>
      </c>
      <c r="D904" s="242"/>
      <c r="E904" s="120">
        <v>1</v>
      </c>
      <c r="F904" s="40">
        <f>IFERROR(VLOOKUP(B904,'Productos '!B:G,3,FALSE)," ")</f>
        <v>431.0344827586207</v>
      </c>
      <c r="G904" s="40">
        <f>IFERROR((F904*E904)," ")</f>
        <v>431.0344827586207</v>
      </c>
    </row>
    <row r="905" spans="2:7" x14ac:dyDescent="0.25">
      <c r="B905" s="120" t="s">
        <v>323</v>
      </c>
      <c r="C905" s="241" t="str">
        <f>IFERROR(VLOOKUP(B905,'Productos '!B:C,2,FALSE)," ")</f>
        <v>Promoción ActiCell</v>
      </c>
      <c r="D905" s="242"/>
      <c r="E905" s="120">
        <v>2</v>
      </c>
      <c r="F905" s="40">
        <f>IFERROR(VLOOKUP(B905,'Productos '!B:G,3,FALSE)," ")</f>
        <v>301.72413793103448</v>
      </c>
      <c r="G905" s="40">
        <f t="shared" ref="G905:G910" si="33">IFERROR((F905*E905)," ")</f>
        <v>603.44827586206895</v>
      </c>
    </row>
    <row r="906" spans="2:7" x14ac:dyDescent="0.25">
      <c r="B906" s="120"/>
      <c r="C906" s="241" t="str">
        <f>IFERROR(VLOOKUP(B906,'Productos '!B:C,2,FALSE)," ")</f>
        <v xml:space="preserve"> </v>
      </c>
      <c r="D906" s="242"/>
      <c r="E906" s="120"/>
      <c r="F906" s="40" t="str">
        <f>IFERROR(VLOOKUP(B906,'Productos '!B:G,3,FALSE)," ")</f>
        <v xml:space="preserve"> </v>
      </c>
      <c r="G906" s="40" t="str">
        <f t="shared" si="33"/>
        <v xml:space="preserve"> </v>
      </c>
    </row>
    <row r="907" spans="2:7" x14ac:dyDescent="0.25">
      <c r="B907" s="120"/>
      <c r="C907" s="241" t="str">
        <f>IFERROR(VLOOKUP(B907,'Productos '!B:C,2,FALSE)," ")</f>
        <v xml:space="preserve"> </v>
      </c>
      <c r="D907" s="242"/>
      <c r="E907" s="120"/>
      <c r="F907" s="40" t="str">
        <f>IFERROR(VLOOKUP(B907,'Productos '!B:G,3,FALSE)," ")</f>
        <v xml:space="preserve"> </v>
      </c>
      <c r="G907" s="40" t="str">
        <f t="shared" si="33"/>
        <v xml:space="preserve"> </v>
      </c>
    </row>
    <row r="908" spans="2:7" x14ac:dyDescent="0.25">
      <c r="B908" s="120"/>
      <c r="C908" s="241" t="str">
        <f>IFERROR(VLOOKUP(B908,'Productos '!B:C,2,FALSE)," ")</f>
        <v xml:space="preserve"> </v>
      </c>
      <c r="D908" s="242"/>
      <c r="E908" s="120"/>
      <c r="F908" s="40" t="str">
        <f>IFERROR(VLOOKUP(B908,'Productos '!B:G,3,FALSE)," ")</f>
        <v xml:space="preserve"> </v>
      </c>
      <c r="G908" s="40" t="str">
        <f t="shared" si="33"/>
        <v xml:space="preserve"> </v>
      </c>
    </row>
    <row r="909" spans="2:7" x14ac:dyDescent="0.25">
      <c r="B909" s="120"/>
      <c r="C909" s="241" t="str">
        <f>IFERROR(VLOOKUP(B909,'Productos '!B:C,2,FALSE)," ")</f>
        <v xml:space="preserve"> </v>
      </c>
      <c r="D909" s="242"/>
      <c r="E909" s="120"/>
      <c r="F909" s="40" t="str">
        <f>IFERROR(VLOOKUP(B909,'Productos '!B:G,3,FALSE)," ")</f>
        <v xml:space="preserve"> </v>
      </c>
      <c r="G909" s="40" t="str">
        <f t="shared" si="33"/>
        <v xml:space="preserve"> </v>
      </c>
    </row>
    <row r="910" spans="2:7" x14ac:dyDescent="0.25">
      <c r="B910" s="120"/>
      <c r="C910" s="241" t="str">
        <f>IFERROR(VLOOKUP(B910,'Productos '!B:C,2,FALSE)," ")</f>
        <v xml:space="preserve"> </v>
      </c>
      <c r="D910" s="242"/>
      <c r="E910" s="120"/>
      <c r="F910" s="40" t="str">
        <f>IFERROR(VLOOKUP(B910,'Productos '!B:G,3,FALSE)," ")</f>
        <v xml:space="preserve"> </v>
      </c>
      <c r="G910" s="40" t="str">
        <f t="shared" si="33"/>
        <v xml:space="preserve"> </v>
      </c>
    </row>
    <row r="911" spans="2:7" x14ac:dyDescent="0.25">
      <c r="B911" s="150"/>
      <c r="C911" s="253" t="s">
        <v>88</v>
      </c>
      <c r="D911" s="254"/>
      <c r="E911" s="38">
        <f>SUM(E904:E910)</f>
        <v>3</v>
      </c>
      <c r="F911" s="149" t="s">
        <v>89</v>
      </c>
      <c r="G911" s="40">
        <f>SUM(G904:G910)</f>
        <v>1034.4827586206898</v>
      </c>
    </row>
    <row r="912" spans="2:7" x14ac:dyDescent="0.25">
      <c r="B912" s="150"/>
      <c r="C912" s="150"/>
      <c r="D912" s="150"/>
      <c r="E912" s="150"/>
      <c r="F912" s="149" t="s">
        <v>90</v>
      </c>
      <c r="G912" s="40">
        <f>G911*16%</f>
        <v>165.51724137931038</v>
      </c>
    </row>
    <row r="913" spans="2:7" x14ac:dyDescent="0.25">
      <c r="B913" s="149" t="s">
        <v>91</v>
      </c>
      <c r="C913" s="241" t="str">
        <f>IFERROR(VLOOKUP(D895,'DATOS REGISTRADOS'!B:R,17,FALSE)," ")</f>
        <v>Celia Salazar Soto</v>
      </c>
      <c r="D913" s="252"/>
      <c r="E913" s="242"/>
      <c r="F913" s="149" t="s">
        <v>57</v>
      </c>
      <c r="G913" s="68">
        <f>SUM(G911:G912)</f>
        <v>1200.0000000000002</v>
      </c>
    </row>
    <row r="914" spans="2:7" x14ac:dyDescent="0.25">
      <c r="B914" s="245" t="s">
        <v>343</v>
      </c>
      <c r="C914" s="245"/>
      <c r="D914" s="245"/>
      <c r="E914" s="245"/>
      <c r="F914" s="245"/>
      <c r="G914" s="245"/>
    </row>
    <row r="915" spans="2:7" x14ac:dyDescent="0.25">
      <c r="B915" s="246" t="s">
        <v>124</v>
      </c>
      <c r="C915" s="247"/>
      <c r="D915" s="247"/>
      <c r="E915" s="247"/>
      <c r="F915" s="247"/>
      <c r="G915" s="248"/>
    </row>
    <row r="916" spans="2:7" x14ac:dyDescent="0.25">
      <c r="B916" s="54" t="s">
        <v>123</v>
      </c>
      <c r="C916" s="148"/>
      <c r="D916" s="245" t="s">
        <v>128</v>
      </c>
      <c r="E916" s="245"/>
      <c r="F916" s="245"/>
      <c r="G916" s="245"/>
    </row>
    <row r="919" spans="2:7" x14ac:dyDescent="0.25">
      <c r="B919" s="150"/>
      <c r="C919" s="150"/>
      <c r="D919" s="150"/>
      <c r="E919" s="150"/>
      <c r="F919" s="150"/>
      <c r="G919" s="150"/>
    </row>
    <row r="920" spans="2:7" x14ac:dyDescent="0.25">
      <c r="B920" s="150"/>
      <c r="C920" s="250" t="s">
        <v>22</v>
      </c>
      <c r="D920" s="250"/>
      <c r="E920" s="42"/>
      <c r="F920" s="150"/>
      <c r="G920" s="150"/>
    </row>
    <row r="921" spans="2:7" x14ac:dyDescent="0.25">
      <c r="B921" s="150"/>
      <c r="C921" s="251"/>
      <c r="D921" s="251"/>
      <c r="E921" s="150"/>
      <c r="F921" s="43"/>
      <c r="G921" s="150"/>
    </row>
    <row r="922" spans="2:7" x14ac:dyDescent="0.25">
      <c r="B922" s="150"/>
      <c r="C922" s="27" t="s">
        <v>77</v>
      </c>
      <c r="D922" s="120">
        <v>38</v>
      </c>
      <c r="E922" s="149" t="s">
        <v>125</v>
      </c>
      <c r="F922" s="56">
        <v>42</v>
      </c>
      <c r="G922" s="150"/>
    </row>
    <row r="923" spans="2:7" x14ac:dyDescent="0.25">
      <c r="B923" s="150"/>
      <c r="C923" s="29" t="s">
        <v>76</v>
      </c>
      <c r="D923" s="147">
        <f>IFERROR(VLOOKUP(D922,'DATOS REGISTRADOS'!B:Q,16,FALSE)," ")</f>
        <v>30</v>
      </c>
      <c r="E923" s="30" t="s">
        <v>78</v>
      </c>
      <c r="F923" s="31">
        <v>43571</v>
      </c>
      <c r="G923" s="150"/>
    </row>
    <row r="924" spans="2:7" x14ac:dyDescent="0.25">
      <c r="B924" s="256" t="s">
        <v>79</v>
      </c>
      <c r="C924" s="256"/>
      <c r="D924" s="256"/>
      <c r="E924" s="256"/>
      <c r="F924" s="256"/>
      <c r="G924" s="256"/>
    </row>
    <row r="925" spans="2:7" x14ac:dyDescent="0.25">
      <c r="B925" s="149" t="s">
        <v>80</v>
      </c>
      <c r="C925" s="257" t="str">
        <f>IFERROR(VLOOKUP(D922,'DATOS REGISTRADOS'!B:C,2,FALSE)," ")</f>
        <v>Maria Guadalupe Lozano Vazquez</v>
      </c>
      <c r="D925" s="257"/>
      <c r="E925" s="258"/>
      <c r="F925" s="258"/>
      <c r="G925" s="258"/>
    </row>
    <row r="926" spans="2:7" x14ac:dyDescent="0.25">
      <c r="B926" s="151" t="s">
        <v>81</v>
      </c>
      <c r="C926" s="259" t="str">
        <f>IFERROR(VLOOKUP(D922,'DATOS REGISTRADOS'!B:Q,3,FALSE)," ")</f>
        <v>Geranio# 447 entre lirios y ortencia</v>
      </c>
      <c r="D926" s="260"/>
      <c r="E926" s="35" t="s">
        <v>82</v>
      </c>
      <c r="F926" s="263">
        <f>IFERROR(VLOOKUP(D922,'DATOS REGISTRADOS'!B:Q,7,FALSE)," ")</f>
        <v>8124367057</v>
      </c>
      <c r="G926" s="263"/>
    </row>
    <row r="927" spans="2:7" x14ac:dyDescent="0.25">
      <c r="B927" s="150"/>
      <c r="C927" s="243" t="str">
        <f>IFERROR(VLOOKUP(D922,'DATOS REGISTRADOS'!B:Q,4,FALSE)," ")</f>
        <v>col. hacienda las margaritas</v>
      </c>
      <c r="D927" s="244"/>
      <c r="E927" s="150"/>
      <c r="F927" s="150"/>
      <c r="G927" s="150"/>
    </row>
    <row r="928" spans="2:7" x14ac:dyDescent="0.25">
      <c r="B928" s="150"/>
      <c r="C928" s="66" t="str">
        <f>IFERROR(VLOOKUP(D922,'DATOS REGISTRADOS'!B:Q,5,FALSE)," ")</f>
        <v>Apodaca N.L</v>
      </c>
      <c r="D928" s="67">
        <f>IFERROR(VLOOKUP(D922,'DATOS REGISTRADOS'!B:Q,6,FALSE)," ")</f>
        <v>66647</v>
      </c>
      <c r="E928" s="150"/>
      <c r="F928" s="150"/>
      <c r="G928" s="150"/>
    </row>
    <row r="929" spans="2:7" x14ac:dyDescent="0.25">
      <c r="B929" s="256" t="s">
        <v>83</v>
      </c>
      <c r="C929" s="262"/>
      <c r="D929" s="262"/>
      <c r="E929" s="256"/>
      <c r="F929" s="256"/>
      <c r="G929" s="256"/>
    </row>
    <row r="930" spans="2:7" x14ac:dyDescent="0.25">
      <c r="B930" s="149" t="s">
        <v>84</v>
      </c>
      <c r="C930" s="249" t="s">
        <v>85</v>
      </c>
      <c r="D930" s="249"/>
      <c r="E930" s="149" t="s">
        <v>86</v>
      </c>
      <c r="F930" s="149" t="s">
        <v>87</v>
      </c>
      <c r="G930" s="149" t="s">
        <v>57</v>
      </c>
    </row>
    <row r="931" spans="2:7" x14ac:dyDescent="0.25">
      <c r="B931" s="120" t="s">
        <v>126</v>
      </c>
      <c r="C931" s="241" t="str">
        <f>IFERROR(VLOOKUP(B931,'Productos '!B:C,2,FALSE)," ")</f>
        <v>Recompra 1 Activador Celular</v>
      </c>
      <c r="D931" s="242"/>
      <c r="E931" s="120">
        <v>1</v>
      </c>
      <c r="F931" s="40">
        <f>IFERROR(VLOOKUP(B931,'Productos '!B:G,3,FALSE)," ")</f>
        <v>431.0344827586207</v>
      </c>
      <c r="G931" s="40">
        <f>IFERROR((F931*E931)," ")</f>
        <v>431.0344827586207</v>
      </c>
    </row>
    <row r="932" spans="2:7" x14ac:dyDescent="0.25">
      <c r="B932" s="120" t="s">
        <v>323</v>
      </c>
      <c r="C932" s="241" t="str">
        <f>IFERROR(VLOOKUP(B932,'Productos '!B:C,2,FALSE)," ")</f>
        <v>Promoción ActiCell</v>
      </c>
      <c r="D932" s="242"/>
      <c r="E932" s="120">
        <v>1</v>
      </c>
      <c r="F932" s="40">
        <f>IFERROR(VLOOKUP(B932,'Productos '!B:G,3,FALSE)," ")</f>
        <v>301.72413793103448</v>
      </c>
      <c r="G932" s="40">
        <f t="shared" ref="G932:G937" si="34">IFERROR((F932*E932)," ")</f>
        <v>301.72413793103448</v>
      </c>
    </row>
    <row r="933" spans="2:7" x14ac:dyDescent="0.25">
      <c r="B933" s="120" t="s">
        <v>321</v>
      </c>
      <c r="C933" s="241" t="str">
        <f>IFERROR(VLOOKUP(B933,'Productos '!B:C,2,FALSE)," ")</f>
        <v>Envio</v>
      </c>
      <c r="D933" s="242"/>
      <c r="E933" s="120">
        <v>1</v>
      </c>
      <c r="F933" s="40">
        <f>IFERROR(VLOOKUP(B933,'Productos '!B:G,3,FALSE)," ")</f>
        <v>103.44827586206897</v>
      </c>
      <c r="G933" s="40">
        <f t="shared" si="34"/>
        <v>103.44827586206897</v>
      </c>
    </row>
    <row r="934" spans="2:7" x14ac:dyDescent="0.25">
      <c r="B934" s="120"/>
      <c r="C934" s="241" t="str">
        <f>IFERROR(VLOOKUP(B934,'Productos '!B:C,2,FALSE)," ")</f>
        <v xml:space="preserve"> </v>
      </c>
      <c r="D934" s="242"/>
      <c r="E934" s="120"/>
      <c r="F934" s="40" t="str">
        <f>IFERROR(VLOOKUP(B934,'Productos '!B:G,3,FALSE)," ")</f>
        <v xml:space="preserve"> </v>
      </c>
      <c r="G934" s="40" t="str">
        <f t="shared" si="34"/>
        <v xml:space="preserve"> </v>
      </c>
    </row>
    <row r="935" spans="2:7" x14ac:dyDescent="0.25">
      <c r="B935" s="120"/>
      <c r="C935" s="241" t="str">
        <f>IFERROR(VLOOKUP(B935,'Productos '!B:C,2,FALSE)," ")</f>
        <v xml:space="preserve"> </v>
      </c>
      <c r="D935" s="242"/>
      <c r="E935" s="120"/>
      <c r="F935" s="40" t="str">
        <f>IFERROR(VLOOKUP(B935,'Productos '!B:G,3,FALSE)," ")</f>
        <v xml:space="preserve"> </v>
      </c>
      <c r="G935" s="40" t="str">
        <f t="shared" si="34"/>
        <v xml:space="preserve"> </v>
      </c>
    </row>
    <row r="936" spans="2:7" x14ac:dyDescent="0.25">
      <c r="B936" s="120"/>
      <c r="C936" s="241" t="str">
        <f>IFERROR(VLOOKUP(B936,'Productos '!B:C,2,FALSE)," ")</f>
        <v xml:space="preserve"> </v>
      </c>
      <c r="D936" s="242"/>
      <c r="E936" s="120"/>
      <c r="F936" s="40" t="str">
        <f>IFERROR(VLOOKUP(B936,'Productos '!B:G,3,FALSE)," ")</f>
        <v xml:space="preserve"> </v>
      </c>
      <c r="G936" s="40" t="str">
        <f t="shared" si="34"/>
        <v xml:space="preserve"> </v>
      </c>
    </row>
    <row r="937" spans="2:7" x14ac:dyDescent="0.25">
      <c r="B937" s="120"/>
      <c r="C937" s="241" t="str">
        <f>IFERROR(VLOOKUP(B937,'Productos '!B:C,2,FALSE)," ")</f>
        <v xml:space="preserve"> </v>
      </c>
      <c r="D937" s="242"/>
      <c r="E937" s="120"/>
      <c r="F937" s="40" t="str">
        <f>IFERROR(VLOOKUP(B937,'Productos '!B:G,3,FALSE)," ")</f>
        <v xml:space="preserve"> </v>
      </c>
      <c r="G937" s="40" t="str">
        <f t="shared" si="34"/>
        <v xml:space="preserve"> </v>
      </c>
    </row>
    <row r="938" spans="2:7" x14ac:dyDescent="0.25">
      <c r="B938" s="150"/>
      <c r="C938" s="253" t="s">
        <v>88</v>
      </c>
      <c r="D938" s="254"/>
      <c r="E938" s="38">
        <f>SUM(E931:E937)</f>
        <v>3</v>
      </c>
      <c r="F938" s="149" t="s">
        <v>89</v>
      </c>
      <c r="G938" s="40">
        <f>SUM(G931:G937)</f>
        <v>836.20689655172407</v>
      </c>
    </row>
    <row r="939" spans="2:7" x14ac:dyDescent="0.25">
      <c r="B939" s="150"/>
      <c r="C939" s="150"/>
      <c r="D939" s="150"/>
      <c r="E939" s="150"/>
      <c r="F939" s="149" t="s">
        <v>90</v>
      </c>
      <c r="G939" s="40">
        <f>G938*16%</f>
        <v>133.79310344827584</v>
      </c>
    </row>
    <row r="940" spans="2:7" x14ac:dyDescent="0.25">
      <c r="B940" s="149" t="s">
        <v>91</v>
      </c>
      <c r="C940" s="241" t="str">
        <f>IFERROR(VLOOKUP(D922,'DATOS REGISTRADOS'!B:R,17,FALSE)," ")</f>
        <v>Marina Concepcion Salazar Soto</v>
      </c>
      <c r="D940" s="252"/>
      <c r="E940" s="242"/>
      <c r="F940" s="149" t="s">
        <v>57</v>
      </c>
      <c r="G940" s="68">
        <f>SUM(G938:G939)</f>
        <v>969.99999999999989</v>
      </c>
    </row>
    <row r="941" spans="2:7" x14ac:dyDescent="0.25">
      <c r="B941" s="245" t="s">
        <v>343</v>
      </c>
      <c r="C941" s="245"/>
      <c r="D941" s="245"/>
      <c r="E941" s="245"/>
      <c r="F941" s="245"/>
      <c r="G941" s="245"/>
    </row>
    <row r="942" spans="2:7" x14ac:dyDescent="0.25">
      <c r="B942" s="246" t="s">
        <v>124</v>
      </c>
      <c r="C942" s="247"/>
      <c r="D942" s="247"/>
      <c r="E942" s="247"/>
      <c r="F942" s="247"/>
      <c r="G942" s="248"/>
    </row>
    <row r="943" spans="2:7" x14ac:dyDescent="0.25">
      <c r="B943" s="54" t="s">
        <v>123</v>
      </c>
      <c r="C943" s="148"/>
      <c r="D943" s="245" t="s">
        <v>128</v>
      </c>
      <c r="E943" s="245"/>
      <c r="F943" s="245"/>
      <c r="G943" s="245"/>
    </row>
    <row r="946" spans="2:7" x14ac:dyDescent="0.25">
      <c r="B946" s="150"/>
      <c r="C946" s="150"/>
      <c r="D946" s="150"/>
      <c r="E946" s="150"/>
      <c r="F946" s="150"/>
      <c r="G946" s="150"/>
    </row>
    <row r="947" spans="2:7" x14ac:dyDescent="0.25">
      <c r="B947" s="150"/>
      <c r="C947" s="250" t="s">
        <v>22</v>
      </c>
      <c r="D947" s="250"/>
      <c r="E947" s="42"/>
      <c r="F947" s="150"/>
      <c r="G947" s="150"/>
    </row>
    <row r="948" spans="2:7" x14ac:dyDescent="0.25">
      <c r="B948" s="150"/>
      <c r="C948" s="251"/>
      <c r="D948" s="251"/>
      <c r="E948" s="150"/>
      <c r="F948" s="43"/>
      <c r="G948" s="150"/>
    </row>
    <row r="949" spans="2:7" x14ac:dyDescent="0.25">
      <c r="B949" s="150"/>
      <c r="C949" s="27" t="s">
        <v>77</v>
      </c>
      <c r="D949" s="120">
        <v>11</v>
      </c>
      <c r="E949" s="149" t="s">
        <v>125</v>
      </c>
      <c r="F949" s="56">
        <v>41</v>
      </c>
      <c r="G949" s="150"/>
    </row>
    <row r="950" spans="2:7" x14ac:dyDescent="0.25">
      <c r="B950" s="150"/>
      <c r="C950" s="29" t="s">
        <v>76</v>
      </c>
      <c r="D950" s="147">
        <f>IFERROR(VLOOKUP(D949,'DATOS REGISTRADOS'!B:Q,16,FALSE)," ")</f>
        <v>10</v>
      </c>
      <c r="E950" s="30" t="s">
        <v>78</v>
      </c>
      <c r="F950" s="31">
        <v>43571</v>
      </c>
      <c r="G950" s="150"/>
    </row>
    <row r="951" spans="2:7" x14ac:dyDescent="0.25">
      <c r="B951" s="256" t="s">
        <v>79</v>
      </c>
      <c r="C951" s="256"/>
      <c r="D951" s="256"/>
      <c r="E951" s="256"/>
      <c r="F951" s="256"/>
      <c r="G951" s="256"/>
    </row>
    <row r="952" spans="2:7" x14ac:dyDescent="0.25">
      <c r="B952" s="149" t="s">
        <v>80</v>
      </c>
      <c r="C952" s="257" t="str">
        <f>IFERROR(VLOOKUP(D949,'DATOS REGISTRADOS'!B:C,2,FALSE)," ")</f>
        <v>Silvano Cavazos Salazar</v>
      </c>
      <c r="D952" s="257"/>
      <c r="E952" s="258"/>
      <c r="F952" s="258"/>
      <c r="G952" s="258"/>
    </row>
    <row r="953" spans="2:7" x14ac:dyDescent="0.25">
      <c r="B953" s="151" t="s">
        <v>81</v>
      </c>
      <c r="C953" s="259" t="str">
        <f>IFERROR(VLOOKUP(D949,'DATOS REGISTRADOS'!B:Q,3,FALSE)," ")</f>
        <v>Carolina #436</v>
      </c>
      <c r="D953" s="260"/>
      <c r="E953" s="35" t="s">
        <v>82</v>
      </c>
      <c r="F953" s="263" t="str">
        <f>IFERROR(VLOOKUP(D949,'DATOS REGISTRADOS'!B:Q,7,FALSE)," ")</f>
        <v>wp 81-23-71-31-11</v>
      </c>
      <c r="G953" s="263"/>
    </row>
    <row r="954" spans="2:7" x14ac:dyDescent="0.25">
      <c r="B954" s="150"/>
      <c r="C954" s="243" t="str">
        <f>IFERROR(VLOOKUP(D949,'DATOS REGISTRADOS'!B:Q,4,FALSE)," ")</f>
        <v>Los pinceles, Apocada, NL</v>
      </c>
      <c r="D954" s="244"/>
      <c r="E954" s="150"/>
      <c r="F954" s="150"/>
      <c r="G954" s="150"/>
    </row>
    <row r="955" spans="2:7" x14ac:dyDescent="0.25">
      <c r="B955" s="150"/>
      <c r="C955" s="66" t="str">
        <f>IFERROR(VLOOKUP(D949,'DATOS REGISTRADOS'!B:Q,5,FALSE)," ")</f>
        <v>Nuevo León</v>
      </c>
      <c r="D955" s="67">
        <f>IFERROR(VLOOKUP(D949,'DATOS REGISTRADOS'!B:Q,6,FALSE)," ")</f>
        <v>66647</v>
      </c>
      <c r="E955" s="150"/>
      <c r="F955" s="150"/>
      <c r="G955" s="150"/>
    </row>
    <row r="956" spans="2:7" x14ac:dyDescent="0.25">
      <c r="B956" s="256" t="s">
        <v>83</v>
      </c>
      <c r="C956" s="262"/>
      <c r="D956" s="262"/>
      <c r="E956" s="256"/>
      <c r="F956" s="256"/>
      <c r="G956" s="256"/>
    </row>
    <row r="957" spans="2:7" x14ac:dyDescent="0.25">
      <c r="B957" s="149" t="s">
        <v>84</v>
      </c>
      <c r="C957" s="249" t="s">
        <v>85</v>
      </c>
      <c r="D957" s="249"/>
      <c r="E957" s="149" t="s">
        <v>86</v>
      </c>
      <c r="F957" s="149" t="s">
        <v>87</v>
      </c>
      <c r="G957" s="149" t="s">
        <v>57</v>
      </c>
    </row>
    <row r="958" spans="2:7" x14ac:dyDescent="0.25">
      <c r="B958" s="120" t="s">
        <v>126</v>
      </c>
      <c r="C958" s="241" t="str">
        <f>IFERROR(VLOOKUP(B958,'Productos '!B:C,2,FALSE)," ")</f>
        <v>Recompra 1 Activador Celular</v>
      </c>
      <c r="D958" s="242"/>
      <c r="E958" s="120">
        <v>1</v>
      </c>
      <c r="F958" s="40">
        <f>IFERROR(VLOOKUP(B958,'Productos '!B:G,3,FALSE)," ")</f>
        <v>431.0344827586207</v>
      </c>
      <c r="G958" s="40">
        <f>IFERROR((F958*E958)," ")</f>
        <v>431.0344827586207</v>
      </c>
    </row>
    <row r="959" spans="2:7" x14ac:dyDescent="0.25">
      <c r="B959" s="120" t="s">
        <v>323</v>
      </c>
      <c r="C959" s="241" t="str">
        <f>IFERROR(VLOOKUP(B959,'Productos '!B:C,2,FALSE)," ")</f>
        <v>Promoción ActiCell</v>
      </c>
      <c r="D959" s="242"/>
      <c r="E959" s="120">
        <v>1</v>
      </c>
      <c r="F959" s="40">
        <f>IFERROR(VLOOKUP(B959,'Productos '!B:G,3,FALSE)," ")</f>
        <v>301.72413793103448</v>
      </c>
      <c r="G959" s="40">
        <f t="shared" ref="G959:G964" si="35">IFERROR((F959*E959)," ")</f>
        <v>301.72413793103448</v>
      </c>
    </row>
    <row r="960" spans="2:7" x14ac:dyDescent="0.25">
      <c r="B960" s="120"/>
      <c r="C960" s="241" t="str">
        <f>IFERROR(VLOOKUP(B960,'Productos '!B:C,2,FALSE)," ")</f>
        <v xml:space="preserve"> </v>
      </c>
      <c r="D960" s="242"/>
      <c r="E960" s="120"/>
      <c r="F960" s="40" t="str">
        <f>IFERROR(VLOOKUP(B960,'Productos '!B:G,3,FALSE)," ")</f>
        <v xml:space="preserve"> </v>
      </c>
      <c r="G960" s="40" t="str">
        <f t="shared" si="35"/>
        <v xml:space="preserve"> </v>
      </c>
    </row>
    <row r="961" spans="2:7" x14ac:dyDescent="0.25">
      <c r="B961" s="120"/>
      <c r="C961" s="241" t="str">
        <f>IFERROR(VLOOKUP(B961,'Productos '!B:C,2,FALSE)," ")</f>
        <v xml:space="preserve"> </v>
      </c>
      <c r="D961" s="242"/>
      <c r="E961" s="120"/>
      <c r="F961" s="40" t="str">
        <f>IFERROR(VLOOKUP(B961,'Productos '!B:G,3,FALSE)," ")</f>
        <v xml:space="preserve"> </v>
      </c>
      <c r="G961" s="40" t="str">
        <f t="shared" si="35"/>
        <v xml:space="preserve"> </v>
      </c>
    </row>
    <row r="962" spans="2:7" x14ac:dyDescent="0.25">
      <c r="B962" s="120"/>
      <c r="C962" s="241" t="str">
        <f>IFERROR(VLOOKUP(B962,'Productos '!B:C,2,FALSE)," ")</f>
        <v xml:space="preserve"> </v>
      </c>
      <c r="D962" s="242"/>
      <c r="E962" s="120"/>
      <c r="F962" s="40" t="str">
        <f>IFERROR(VLOOKUP(B962,'Productos '!B:G,3,FALSE)," ")</f>
        <v xml:space="preserve"> </v>
      </c>
      <c r="G962" s="40" t="str">
        <f t="shared" si="35"/>
        <v xml:space="preserve"> </v>
      </c>
    </row>
    <row r="963" spans="2:7" x14ac:dyDescent="0.25">
      <c r="B963" s="120"/>
      <c r="C963" s="241" t="str">
        <f>IFERROR(VLOOKUP(B963,'Productos '!B:C,2,FALSE)," ")</f>
        <v xml:space="preserve"> </v>
      </c>
      <c r="D963" s="242"/>
      <c r="E963" s="120"/>
      <c r="F963" s="40" t="str">
        <f>IFERROR(VLOOKUP(B963,'Productos '!B:G,3,FALSE)," ")</f>
        <v xml:space="preserve"> </v>
      </c>
      <c r="G963" s="40" t="str">
        <f t="shared" si="35"/>
        <v xml:space="preserve"> </v>
      </c>
    </row>
    <row r="964" spans="2:7" x14ac:dyDescent="0.25">
      <c r="B964" s="120"/>
      <c r="C964" s="241" t="str">
        <f>IFERROR(VLOOKUP(B964,'Productos '!B:C,2,FALSE)," ")</f>
        <v xml:space="preserve"> </v>
      </c>
      <c r="D964" s="242"/>
      <c r="E964" s="120"/>
      <c r="F964" s="40" t="str">
        <f>IFERROR(VLOOKUP(B964,'Productos '!B:G,3,FALSE)," ")</f>
        <v xml:space="preserve"> </v>
      </c>
      <c r="G964" s="40" t="str">
        <f t="shared" si="35"/>
        <v xml:space="preserve"> </v>
      </c>
    </row>
    <row r="965" spans="2:7" x14ac:dyDescent="0.25">
      <c r="B965" s="150"/>
      <c r="C965" s="253" t="s">
        <v>88</v>
      </c>
      <c r="D965" s="254"/>
      <c r="E965" s="38">
        <f>SUM(E958:E964)</f>
        <v>2</v>
      </c>
      <c r="F965" s="149" t="s">
        <v>89</v>
      </c>
      <c r="G965" s="40">
        <f>SUM(G958:G964)</f>
        <v>732.75862068965512</v>
      </c>
    </row>
    <row r="966" spans="2:7" x14ac:dyDescent="0.25">
      <c r="B966" s="150"/>
      <c r="C966" s="150"/>
      <c r="D966" s="150"/>
      <c r="E966" s="150"/>
      <c r="F966" s="149" t="s">
        <v>90</v>
      </c>
      <c r="G966" s="40">
        <f>G965*16%</f>
        <v>117.24137931034483</v>
      </c>
    </row>
    <row r="967" spans="2:7" x14ac:dyDescent="0.25">
      <c r="B967" s="149" t="s">
        <v>91</v>
      </c>
      <c r="C967" s="241" t="str">
        <f>IFERROR(VLOOKUP(D949,'DATOS REGISTRADOS'!B:R,17,FALSE)," ")</f>
        <v>Héctor Salamanca Salamanca</v>
      </c>
      <c r="D967" s="252"/>
      <c r="E967" s="242"/>
      <c r="F967" s="149" t="s">
        <v>57</v>
      </c>
      <c r="G967" s="68">
        <f>SUM(G965:G966)</f>
        <v>850</v>
      </c>
    </row>
    <row r="968" spans="2:7" x14ac:dyDescent="0.25">
      <c r="B968" s="245" t="s">
        <v>343</v>
      </c>
      <c r="C968" s="245"/>
      <c r="D968" s="245"/>
      <c r="E968" s="245"/>
      <c r="F968" s="245"/>
      <c r="G968" s="245"/>
    </row>
    <row r="969" spans="2:7" x14ac:dyDescent="0.25">
      <c r="B969" s="246" t="s">
        <v>124</v>
      </c>
      <c r="C969" s="247"/>
      <c r="D969" s="247"/>
      <c r="E969" s="247"/>
      <c r="F969" s="247"/>
      <c r="G969" s="248"/>
    </row>
    <row r="970" spans="2:7" x14ac:dyDescent="0.25">
      <c r="B970" s="54" t="s">
        <v>123</v>
      </c>
      <c r="C970" s="148"/>
      <c r="D970" s="245" t="s">
        <v>128</v>
      </c>
      <c r="E970" s="245"/>
      <c r="F970" s="245"/>
      <c r="G970" s="245"/>
    </row>
    <row r="973" spans="2:7" x14ac:dyDescent="0.25">
      <c r="B973" s="150"/>
      <c r="C973" s="150"/>
      <c r="D973" s="150"/>
      <c r="E973" s="150"/>
      <c r="F973" s="150"/>
      <c r="G973" s="150"/>
    </row>
    <row r="974" spans="2:7" x14ac:dyDescent="0.25">
      <c r="B974" s="150"/>
      <c r="C974" s="250" t="s">
        <v>22</v>
      </c>
      <c r="D974" s="250"/>
      <c r="E974" s="42"/>
      <c r="F974" s="150"/>
      <c r="G974" s="150"/>
    </row>
    <row r="975" spans="2:7" x14ac:dyDescent="0.25">
      <c r="B975" s="150"/>
      <c r="C975" s="251"/>
      <c r="D975" s="251"/>
      <c r="E975" s="150"/>
      <c r="F975" s="43"/>
      <c r="G975" s="150"/>
    </row>
    <row r="976" spans="2:7" x14ac:dyDescent="0.25">
      <c r="B976" s="150"/>
      <c r="C976" s="27" t="s">
        <v>77</v>
      </c>
      <c r="D976" s="120">
        <v>14</v>
      </c>
      <c r="E976" s="149" t="s">
        <v>125</v>
      </c>
      <c r="F976" s="56">
        <v>40</v>
      </c>
      <c r="G976" s="150"/>
    </row>
    <row r="977" spans="2:7" x14ac:dyDescent="0.25">
      <c r="B977" s="150"/>
      <c r="C977" s="29" t="s">
        <v>76</v>
      </c>
      <c r="D977" s="147">
        <f>IFERROR(VLOOKUP(D976,'DATOS REGISTRADOS'!B:Q,16,FALSE)," ")</f>
        <v>11</v>
      </c>
      <c r="E977" s="30" t="s">
        <v>78</v>
      </c>
      <c r="F977" s="31">
        <v>43571</v>
      </c>
      <c r="G977" s="150"/>
    </row>
    <row r="978" spans="2:7" x14ac:dyDescent="0.25">
      <c r="B978" s="256" t="s">
        <v>79</v>
      </c>
      <c r="C978" s="256"/>
      <c r="D978" s="256"/>
      <c r="E978" s="256"/>
      <c r="F978" s="256"/>
      <c r="G978" s="256"/>
    </row>
    <row r="979" spans="2:7" x14ac:dyDescent="0.25">
      <c r="B979" s="149" t="s">
        <v>80</v>
      </c>
      <c r="C979" s="257" t="str">
        <f>IFERROR(VLOOKUP(D976,'DATOS REGISTRADOS'!B:C,2,FALSE)," ")</f>
        <v>Deyanira Cavazos</v>
      </c>
      <c r="D979" s="257"/>
      <c r="E979" s="258"/>
      <c r="F979" s="258"/>
      <c r="G979" s="258"/>
    </row>
    <row r="980" spans="2:7" x14ac:dyDescent="0.25">
      <c r="B980" s="151" t="s">
        <v>81</v>
      </c>
      <c r="C980" s="259" t="str">
        <f>IFERROR(VLOOKUP(D976,'DATOS REGISTRADOS'!B:Q,3,FALSE)," ")</f>
        <v xml:space="preserve">Hidalgo 525 pte </v>
      </c>
      <c r="D980" s="260"/>
      <c r="E980" s="35" t="s">
        <v>82</v>
      </c>
      <c r="F980" s="263">
        <f>IFERROR(VLOOKUP(D976,'DATOS REGISTRADOS'!B:Q,7,FALSE)," ")</f>
        <v>8116874502</v>
      </c>
      <c r="G980" s="263"/>
    </row>
    <row r="981" spans="2:7" x14ac:dyDescent="0.25">
      <c r="B981" s="150"/>
      <c r="C981" s="243" t="str">
        <f>IFERROR(VLOOKUP(D976,'DATOS REGISTRADOS'!B:Q,4,FALSE)," ")</f>
        <v>col centro</v>
      </c>
      <c r="D981" s="244"/>
      <c r="E981" s="150"/>
      <c r="F981" s="150"/>
      <c r="G981" s="150"/>
    </row>
    <row r="982" spans="2:7" x14ac:dyDescent="0.25">
      <c r="B982" s="150"/>
      <c r="C982" s="66" t="str">
        <f>IFERROR(VLOOKUP(D976,'DATOS REGISTRADOS'!B:Q,5,FALSE)," ")</f>
        <v>Guadalupe</v>
      </c>
      <c r="D982" s="67">
        <f>IFERROR(VLOOKUP(D976,'DATOS REGISTRADOS'!B:Q,6,FALSE)," ")</f>
        <v>67100</v>
      </c>
      <c r="E982" s="150"/>
      <c r="F982" s="150"/>
      <c r="G982" s="150"/>
    </row>
    <row r="983" spans="2:7" x14ac:dyDescent="0.25">
      <c r="B983" s="256" t="s">
        <v>83</v>
      </c>
      <c r="C983" s="262"/>
      <c r="D983" s="262"/>
      <c r="E983" s="256"/>
      <c r="F983" s="256"/>
      <c r="G983" s="256"/>
    </row>
    <row r="984" spans="2:7" x14ac:dyDescent="0.25">
      <c r="B984" s="149" t="s">
        <v>84</v>
      </c>
      <c r="C984" s="249" t="s">
        <v>85</v>
      </c>
      <c r="D984" s="249"/>
      <c r="E984" s="149" t="s">
        <v>86</v>
      </c>
      <c r="F984" s="149" t="s">
        <v>87</v>
      </c>
      <c r="G984" s="149" t="s">
        <v>57</v>
      </c>
    </row>
    <row r="985" spans="2:7" x14ac:dyDescent="0.25">
      <c r="B985" s="120" t="s">
        <v>126</v>
      </c>
      <c r="C985" s="241" t="str">
        <f>IFERROR(VLOOKUP(B985,'Productos '!B:C,2,FALSE)," ")</f>
        <v>Recompra 1 Activador Celular</v>
      </c>
      <c r="D985" s="242"/>
      <c r="E985" s="120">
        <v>1</v>
      </c>
      <c r="F985" s="40">
        <f>IFERROR(VLOOKUP(B985,'Productos '!B:G,3,FALSE)," ")</f>
        <v>431.0344827586207</v>
      </c>
      <c r="G985" s="40">
        <f>IFERROR((F985*E985)," ")</f>
        <v>431.0344827586207</v>
      </c>
    </row>
    <row r="986" spans="2:7" x14ac:dyDescent="0.25">
      <c r="B986" s="120" t="s">
        <v>323</v>
      </c>
      <c r="C986" s="241" t="str">
        <f>IFERROR(VLOOKUP(B986,'Productos '!B:C,2,FALSE)," ")</f>
        <v>Promoción ActiCell</v>
      </c>
      <c r="D986" s="242"/>
      <c r="E986" s="120">
        <v>1</v>
      </c>
      <c r="F986" s="40">
        <f>IFERROR(VLOOKUP(B986,'Productos '!B:G,3,FALSE)," ")</f>
        <v>301.72413793103448</v>
      </c>
      <c r="G986" s="40">
        <f t="shared" ref="G986:G991" si="36">IFERROR((F986*E986)," ")</f>
        <v>301.72413793103448</v>
      </c>
    </row>
    <row r="987" spans="2:7" x14ac:dyDescent="0.25">
      <c r="B987" s="120"/>
      <c r="C987" s="241" t="str">
        <f>IFERROR(VLOOKUP(B987,'Productos '!B:C,2,FALSE)," ")</f>
        <v xml:space="preserve"> </v>
      </c>
      <c r="D987" s="242"/>
      <c r="E987" s="120"/>
      <c r="F987" s="40" t="str">
        <f>IFERROR(VLOOKUP(B987,'Productos '!B:G,3,FALSE)," ")</f>
        <v xml:space="preserve"> </v>
      </c>
      <c r="G987" s="40" t="str">
        <f t="shared" si="36"/>
        <v xml:space="preserve"> </v>
      </c>
    </row>
    <row r="988" spans="2:7" x14ac:dyDescent="0.25">
      <c r="B988" s="120"/>
      <c r="C988" s="241" t="str">
        <f>IFERROR(VLOOKUP(B988,'Productos '!B:C,2,FALSE)," ")</f>
        <v xml:space="preserve"> </v>
      </c>
      <c r="D988" s="242"/>
      <c r="E988" s="120"/>
      <c r="F988" s="40" t="str">
        <f>IFERROR(VLOOKUP(B988,'Productos '!B:G,3,FALSE)," ")</f>
        <v xml:space="preserve"> </v>
      </c>
      <c r="G988" s="40" t="str">
        <f t="shared" si="36"/>
        <v xml:space="preserve"> </v>
      </c>
    </row>
    <row r="989" spans="2:7" x14ac:dyDescent="0.25">
      <c r="B989" s="120"/>
      <c r="C989" s="241" t="str">
        <f>IFERROR(VLOOKUP(B989,'Productos '!B:C,2,FALSE)," ")</f>
        <v xml:space="preserve"> </v>
      </c>
      <c r="D989" s="242"/>
      <c r="E989" s="120"/>
      <c r="F989" s="40" t="str">
        <f>IFERROR(VLOOKUP(B989,'Productos '!B:G,3,FALSE)," ")</f>
        <v xml:space="preserve"> </v>
      </c>
      <c r="G989" s="40" t="str">
        <f t="shared" si="36"/>
        <v xml:space="preserve"> </v>
      </c>
    </row>
    <row r="990" spans="2:7" x14ac:dyDescent="0.25">
      <c r="B990" s="120"/>
      <c r="C990" s="241" t="str">
        <f>IFERROR(VLOOKUP(B990,'Productos '!B:C,2,FALSE)," ")</f>
        <v xml:space="preserve"> </v>
      </c>
      <c r="D990" s="242"/>
      <c r="E990" s="120"/>
      <c r="F990" s="40" t="str">
        <f>IFERROR(VLOOKUP(B990,'Productos '!B:G,3,FALSE)," ")</f>
        <v xml:space="preserve"> </v>
      </c>
      <c r="G990" s="40" t="str">
        <f t="shared" si="36"/>
        <v xml:space="preserve"> </v>
      </c>
    </row>
    <row r="991" spans="2:7" x14ac:dyDescent="0.25">
      <c r="B991" s="120"/>
      <c r="C991" s="241" t="str">
        <f>IFERROR(VLOOKUP(B991,'Productos '!B:C,2,FALSE)," ")</f>
        <v xml:space="preserve"> </v>
      </c>
      <c r="D991" s="242"/>
      <c r="E991" s="120"/>
      <c r="F991" s="40" t="str">
        <f>IFERROR(VLOOKUP(B991,'Productos '!B:G,3,FALSE)," ")</f>
        <v xml:space="preserve"> </v>
      </c>
      <c r="G991" s="40" t="str">
        <f t="shared" si="36"/>
        <v xml:space="preserve"> </v>
      </c>
    </row>
    <row r="992" spans="2:7" x14ac:dyDescent="0.25">
      <c r="B992" s="150"/>
      <c r="C992" s="253" t="s">
        <v>88</v>
      </c>
      <c r="D992" s="254"/>
      <c r="E992" s="38">
        <f>SUM(E985:E991)</f>
        <v>2</v>
      </c>
      <c r="F992" s="149" t="s">
        <v>89</v>
      </c>
      <c r="G992" s="40">
        <f>SUM(G985:G991)</f>
        <v>732.75862068965512</v>
      </c>
    </row>
    <row r="993" spans="2:7" x14ac:dyDescent="0.25">
      <c r="B993" s="150"/>
      <c r="C993" s="150"/>
      <c r="D993" s="150"/>
      <c r="E993" s="150"/>
      <c r="F993" s="149" t="s">
        <v>90</v>
      </c>
      <c r="G993" s="40">
        <f>G992*16%</f>
        <v>117.24137931034483</v>
      </c>
    </row>
    <row r="994" spans="2:7" x14ac:dyDescent="0.25">
      <c r="B994" s="149" t="s">
        <v>91</v>
      </c>
      <c r="C994" s="241" t="str">
        <f>IFERROR(VLOOKUP(D976,'DATOS REGISTRADOS'!B:R,17,FALSE)," ")</f>
        <v>Silvano Cavazos Salazar</v>
      </c>
      <c r="D994" s="252"/>
      <c r="E994" s="242"/>
      <c r="F994" s="149" t="s">
        <v>57</v>
      </c>
      <c r="G994" s="68">
        <f>SUM(G992:G993)</f>
        <v>850</v>
      </c>
    </row>
    <row r="995" spans="2:7" x14ac:dyDescent="0.25">
      <c r="B995" s="245" t="s">
        <v>343</v>
      </c>
      <c r="C995" s="245"/>
      <c r="D995" s="245"/>
      <c r="E995" s="245"/>
      <c r="F995" s="245"/>
      <c r="G995" s="245"/>
    </row>
    <row r="996" spans="2:7" x14ac:dyDescent="0.25">
      <c r="B996" s="246" t="s">
        <v>124</v>
      </c>
      <c r="C996" s="247"/>
      <c r="D996" s="247"/>
      <c r="E996" s="247"/>
      <c r="F996" s="247"/>
      <c r="G996" s="248"/>
    </row>
    <row r="997" spans="2:7" x14ac:dyDescent="0.25">
      <c r="B997" s="54" t="s">
        <v>123</v>
      </c>
      <c r="C997" s="148"/>
      <c r="D997" s="245" t="s">
        <v>128</v>
      </c>
      <c r="E997" s="245"/>
      <c r="F997" s="245"/>
      <c r="G997" s="245"/>
    </row>
    <row r="1000" spans="2:7" x14ac:dyDescent="0.25">
      <c r="B1000" s="150"/>
      <c r="C1000" s="150"/>
      <c r="D1000" s="150"/>
      <c r="E1000" s="150"/>
      <c r="F1000" s="150"/>
      <c r="G1000" s="150"/>
    </row>
    <row r="1001" spans="2:7" x14ac:dyDescent="0.25">
      <c r="B1001" s="150"/>
      <c r="C1001" s="250" t="s">
        <v>22</v>
      </c>
      <c r="D1001" s="250"/>
      <c r="E1001" s="42"/>
      <c r="F1001" s="150"/>
      <c r="G1001" s="150"/>
    </row>
    <row r="1002" spans="2:7" x14ac:dyDescent="0.25">
      <c r="B1002" s="150"/>
      <c r="C1002" s="251"/>
      <c r="D1002" s="251"/>
      <c r="E1002" s="150"/>
      <c r="F1002" s="43"/>
      <c r="G1002" s="150"/>
    </row>
    <row r="1003" spans="2:7" x14ac:dyDescent="0.25">
      <c r="B1003" s="150"/>
      <c r="C1003" s="27" t="s">
        <v>77</v>
      </c>
      <c r="D1003" s="120">
        <v>44</v>
      </c>
      <c r="E1003" s="149" t="s">
        <v>125</v>
      </c>
      <c r="F1003" s="56">
        <v>39</v>
      </c>
      <c r="G1003" s="150"/>
    </row>
    <row r="1004" spans="2:7" x14ac:dyDescent="0.25">
      <c r="B1004" s="150"/>
      <c r="C1004" s="29" t="s">
        <v>76</v>
      </c>
      <c r="D1004" s="147">
        <f>IFERROR(VLOOKUP(D1003,'DATOS REGISTRADOS'!B:Q,16,FALSE)," ")</f>
        <v>30</v>
      </c>
      <c r="E1004" s="30" t="s">
        <v>78</v>
      </c>
      <c r="F1004" s="31">
        <v>43571</v>
      </c>
      <c r="G1004" s="150"/>
    </row>
    <row r="1005" spans="2:7" x14ac:dyDescent="0.25">
      <c r="B1005" s="256" t="s">
        <v>79</v>
      </c>
      <c r="C1005" s="256"/>
      <c r="D1005" s="256"/>
      <c r="E1005" s="256"/>
      <c r="F1005" s="256"/>
      <c r="G1005" s="256"/>
    </row>
    <row r="1006" spans="2:7" x14ac:dyDescent="0.25">
      <c r="B1006" s="149" t="s">
        <v>80</v>
      </c>
      <c r="C1006" s="257" t="str">
        <f>IFERROR(VLOOKUP(D1003,'DATOS REGISTRADOS'!B:C,2,FALSE)," ")</f>
        <v>Anibal Enriquez Cruz</v>
      </c>
      <c r="D1006" s="257"/>
      <c r="E1006" s="258"/>
      <c r="F1006" s="258"/>
      <c r="G1006" s="258"/>
    </row>
    <row r="1007" spans="2:7" x14ac:dyDescent="0.25">
      <c r="B1007" s="151" t="s">
        <v>81</v>
      </c>
      <c r="C1007" s="259" t="str">
        <f>IFERROR(VLOOKUP(D1003,'DATOS REGISTRADOS'!B:Q,3,FALSE)," ")</f>
        <v>Martha #330 Frac Los candiles Entre Dalia e Ignacio Villarreal</v>
      </c>
      <c r="D1007" s="260"/>
      <c r="E1007" s="35" t="s">
        <v>82</v>
      </c>
      <c r="F1007" s="263" t="str">
        <f>IFERROR(VLOOKUP(D1003,'DATOS REGISTRADOS'!B:Q,7,FALSE)," ")</f>
        <v>8125673724 y wts 8121509075</v>
      </c>
      <c r="G1007" s="263"/>
    </row>
    <row r="1008" spans="2:7" x14ac:dyDescent="0.25">
      <c r="B1008" s="150"/>
      <c r="C1008" s="243" t="str">
        <f>IFERROR(VLOOKUP(D1003,'DATOS REGISTRADOS'!B:Q,4,FALSE)," ")</f>
        <v>Apodaca, NL</v>
      </c>
      <c r="D1008" s="244"/>
      <c r="E1008" s="150"/>
      <c r="F1008" s="150"/>
      <c r="G1008" s="150"/>
    </row>
    <row r="1009" spans="2:7" x14ac:dyDescent="0.25">
      <c r="B1009" s="150"/>
      <c r="C1009" s="66" t="str">
        <f>IFERROR(VLOOKUP(D1003,'DATOS REGISTRADOS'!B:Q,5,FALSE)," ")</f>
        <v>Nuevo Leon</v>
      </c>
      <c r="D1009" s="67">
        <f>IFERROR(VLOOKUP(D1003,'DATOS REGISTRADOS'!B:Q,6,FALSE)," ")</f>
        <v>66647</v>
      </c>
      <c r="E1009" s="150"/>
      <c r="F1009" s="150"/>
      <c r="G1009" s="150"/>
    </row>
    <row r="1010" spans="2:7" x14ac:dyDescent="0.25">
      <c r="B1010" s="256" t="s">
        <v>83</v>
      </c>
      <c r="C1010" s="262"/>
      <c r="D1010" s="262"/>
      <c r="E1010" s="256"/>
      <c r="F1010" s="256"/>
      <c r="G1010" s="256"/>
    </row>
    <row r="1011" spans="2:7" x14ac:dyDescent="0.25">
      <c r="B1011" s="149" t="s">
        <v>84</v>
      </c>
      <c r="C1011" s="249" t="s">
        <v>85</v>
      </c>
      <c r="D1011" s="249"/>
      <c r="E1011" s="149" t="s">
        <v>86</v>
      </c>
      <c r="F1011" s="149" t="s">
        <v>87</v>
      </c>
      <c r="G1011" s="149" t="s">
        <v>57</v>
      </c>
    </row>
    <row r="1012" spans="2:7" x14ac:dyDescent="0.25">
      <c r="B1012" s="120" t="s">
        <v>126</v>
      </c>
      <c r="C1012" s="241" t="str">
        <f>IFERROR(VLOOKUP(B1012,'Productos '!B:C,2,FALSE)," ")</f>
        <v>Recompra 1 Activador Celular</v>
      </c>
      <c r="D1012" s="242"/>
      <c r="E1012" s="120">
        <v>1</v>
      </c>
      <c r="F1012" s="40">
        <f>IFERROR(VLOOKUP(B1012,'Productos '!B:G,3,FALSE)," ")</f>
        <v>431.0344827586207</v>
      </c>
      <c r="G1012" s="40">
        <f>IFERROR((F1012*E1012)," ")</f>
        <v>431.0344827586207</v>
      </c>
    </row>
    <row r="1013" spans="2:7" x14ac:dyDescent="0.25">
      <c r="B1013" s="120"/>
      <c r="C1013" s="241" t="str">
        <f>IFERROR(VLOOKUP(B1013,'Productos '!B:C,2,FALSE)," ")</f>
        <v xml:space="preserve"> </v>
      </c>
      <c r="D1013" s="242"/>
      <c r="E1013" s="120"/>
      <c r="F1013" s="40" t="str">
        <f>IFERROR(VLOOKUP(B1013,'Productos '!B:G,3,FALSE)," ")</f>
        <v xml:space="preserve"> </v>
      </c>
      <c r="G1013" s="40" t="str">
        <f t="shared" ref="G1013:G1018" si="37">IFERROR((F1013*E1013)," ")</f>
        <v xml:space="preserve"> </v>
      </c>
    </row>
    <row r="1014" spans="2:7" x14ac:dyDescent="0.25">
      <c r="B1014" s="120"/>
      <c r="C1014" s="241" t="str">
        <f>IFERROR(VLOOKUP(B1014,'Productos '!B:C,2,FALSE)," ")</f>
        <v xml:space="preserve"> </v>
      </c>
      <c r="D1014" s="242"/>
      <c r="E1014" s="120"/>
      <c r="F1014" s="40" t="str">
        <f>IFERROR(VLOOKUP(B1014,'Productos '!B:G,3,FALSE)," ")</f>
        <v xml:space="preserve"> </v>
      </c>
      <c r="G1014" s="40" t="str">
        <f t="shared" si="37"/>
        <v xml:space="preserve"> </v>
      </c>
    </row>
    <row r="1015" spans="2:7" x14ac:dyDescent="0.25">
      <c r="B1015" s="120"/>
      <c r="C1015" s="241" t="str">
        <f>IFERROR(VLOOKUP(B1015,'Productos '!B:C,2,FALSE)," ")</f>
        <v xml:space="preserve"> </v>
      </c>
      <c r="D1015" s="242"/>
      <c r="E1015" s="120"/>
      <c r="F1015" s="40" t="str">
        <f>IFERROR(VLOOKUP(B1015,'Productos '!B:G,3,FALSE)," ")</f>
        <v xml:space="preserve"> </v>
      </c>
      <c r="G1015" s="40" t="str">
        <f t="shared" si="37"/>
        <v xml:space="preserve"> </v>
      </c>
    </row>
    <row r="1016" spans="2:7" x14ac:dyDescent="0.25">
      <c r="B1016" s="120"/>
      <c r="C1016" s="241" t="str">
        <f>IFERROR(VLOOKUP(B1016,'Productos '!B:C,2,FALSE)," ")</f>
        <v xml:space="preserve"> </v>
      </c>
      <c r="D1016" s="242"/>
      <c r="E1016" s="120"/>
      <c r="F1016" s="40" t="str">
        <f>IFERROR(VLOOKUP(B1016,'Productos '!B:G,3,FALSE)," ")</f>
        <v xml:space="preserve"> </v>
      </c>
      <c r="G1016" s="40" t="str">
        <f t="shared" si="37"/>
        <v xml:space="preserve"> </v>
      </c>
    </row>
    <row r="1017" spans="2:7" x14ac:dyDescent="0.25">
      <c r="B1017" s="120"/>
      <c r="C1017" s="241" t="str">
        <f>IFERROR(VLOOKUP(B1017,'Productos '!B:C,2,FALSE)," ")</f>
        <v xml:space="preserve"> </v>
      </c>
      <c r="D1017" s="242"/>
      <c r="E1017" s="120"/>
      <c r="F1017" s="40" t="str">
        <f>IFERROR(VLOOKUP(B1017,'Productos '!B:G,3,FALSE)," ")</f>
        <v xml:space="preserve"> </v>
      </c>
      <c r="G1017" s="40" t="str">
        <f t="shared" si="37"/>
        <v xml:space="preserve"> </v>
      </c>
    </row>
    <row r="1018" spans="2:7" x14ac:dyDescent="0.25">
      <c r="B1018" s="120"/>
      <c r="C1018" s="241" t="str">
        <f>IFERROR(VLOOKUP(B1018,'Productos '!B:C,2,FALSE)," ")</f>
        <v xml:space="preserve"> </v>
      </c>
      <c r="D1018" s="242"/>
      <c r="E1018" s="120"/>
      <c r="F1018" s="40" t="str">
        <f>IFERROR(VLOOKUP(B1018,'Productos '!B:G,3,FALSE)," ")</f>
        <v xml:space="preserve"> </v>
      </c>
      <c r="G1018" s="40" t="str">
        <f t="shared" si="37"/>
        <v xml:space="preserve"> </v>
      </c>
    </row>
    <row r="1019" spans="2:7" x14ac:dyDescent="0.25">
      <c r="B1019" s="150"/>
      <c r="C1019" s="253" t="s">
        <v>88</v>
      </c>
      <c r="D1019" s="254"/>
      <c r="E1019" s="38">
        <f>SUM(E1012:E1018)</f>
        <v>1</v>
      </c>
      <c r="F1019" s="149" t="s">
        <v>89</v>
      </c>
      <c r="G1019" s="40">
        <f>SUM(G1012:G1018)</f>
        <v>431.0344827586207</v>
      </c>
    </row>
    <row r="1020" spans="2:7" x14ac:dyDescent="0.25">
      <c r="B1020" s="150"/>
      <c r="C1020" s="150"/>
      <c r="D1020" s="150"/>
      <c r="E1020" s="150"/>
      <c r="F1020" s="149" t="s">
        <v>90</v>
      </c>
      <c r="G1020" s="40">
        <f>G1019*16%</f>
        <v>68.965517241379317</v>
      </c>
    </row>
    <row r="1021" spans="2:7" x14ac:dyDescent="0.25">
      <c r="B1021" s="149" t="s">
        <v>91</v>
      </c>
      <c r="C1021" s="241" t="str">
        <f>IFERROR(VLOOKUP(D1003,'DATOS REGISTRADOS'!B:R,17,FALSE)," ")</f>
        <v>Marina Concepcion Salazar Soto</v>
      </c>
      <c r="D1021" s="252"/>
      <c r="E1021" s="242"/>
      <c r="F1021" s="149" t="s">
        <v>57</v>
      </c>
      <c r="G1021" s="68">
        <f>SUM(G1019:G1020)</f>
        <v>500</v>
      </c>
    </row>
    <row r="1022" spans="2:7" x14ac:dyDescent="0.25">
      <c r="B1022" s="245" t="s">
        <v>343</v>
      </c>
      <c r="C1022" s="245"/>
      <c r="D1022" s="245"/>
      <c r="E1022" s="245"/>
      <c r="F1022" s="245"/>
      <c r="G1022" s="245"/>
    </row>
    <row r="1023" spans="2:7" x14ac:dyDescent="0.25">
      <c r="B1023" s="246" t="s">
        <v>124</v>
      </c>
      <c r="C1023" s="247"/>
      <c r="D1023" s="247"/>
      <c r="E1023" s="247"/>
      <c r="F1023" s="247"/>
      <c r="G1023" s="248"/>
    </row>
    <row r="1024" spans="2:7" x14ac:dyDescent="0.25">
      <c r="B1024" s="54" t="s">
        <v>123</v>
      </c>
      <c r="C1024" s="148"/>
      <c r="D1024" s="245" t="s">
        <v>128</v>
      </c>
      <c r="E1024" s="245"/>
      <c r="F1024" s="245"/>
      <c r="G1024" s="245"/>
    </row>
    <row r="1027" spans="2:7" x14ac:dyDescent="0.25">
      <c r="B1027" s="150"/>
      <c r="C1027" s="150"/>
      <c r="D1027" s="150"/>
      <c r="E1027" s="150"/>
      <c r="F1027" s="150"/>
      <c r="G1027" s="150"/>
    </row>
    <row r="1028" spans="2:7" x14ac:dyDescent="0.25">
      <c r="B1028" s="150"/>
      <c r="C1028" s="250" t="s">
        <v>22</v>
      </c>
      <c r="D1028" s="250"/>
      <c r="E1028" s="42"/>
      <c r="F1028" s="150"/>
      <c r="G1028" s="150"/>
    </row>
    <row r="1029" spans="2:7" x14ac:dyDescent="0.25">
      <c r="B1029" s="150"/>
      <c r="C1029" s="251"/>
      <c r="D1029" s="251"/>
      <c r="E1029" s="150"/>
      <c r="F1029" s="43"/>
      <c r="G1029" s="150"/>
    </row>
    <row r="1030" spans="2:7" x14ac:dyDescent="0.25">
      <c r="B1030" s="150"/>
      <c r="C1030" s="27" t="s">
        <v>77</v>
      </c>
      <c r="D1030" s="120">
        <v>34</v>
      </c>
      <c r="E1030" s="149" t="s">
        <v>125</v>
      </c>
      <c r="F1030" s="56">
        <v>38</v>
      </c>
      <c r="G1030" s="150"/>
    </row>
    <row r="1031" spans="2:7" x14ac:dyDescent="0.25">
      <c r="B1031" s="150"/>
      <c r="C1031" s="29" t="s">
        <v>76</v>
      </c>
      <c r="D1031" s="147">
        <f>IFERROR(VLOOKUP(D1030,'DATOS REGISTRADOS'!B:Q,16,FALSE)," ")</f>
        <v>25</v>
      </c>
      <c r="E1031" s="30" t="s">
        <v>78</v>
      </c>
      <c r="F1031" s="31">
        <v>43571</v>
      </c>
      <c r="G1031" s="150"/>
    </row>
    <row r="1032" spans="2:7" x14ac:dyDescent="0.25">
      <c r="B1032" s="256" t="s">
        <v>79</v>
      </c>
      <c r="C1032" s="256"/>
      <c r="D1032" s="256"/>
      <c r="E1032" s="256"/>
      <c r="F1032" s="256"/>
      <c r="G1032" s="256"/>
    </row>
    <row r="1033" spans="2:7" x14ac:dyDescent="0.25">
      <c r="B1033" s="149" t="s">
        <v>80</v>
      </c>
      <c r="C1033" s="257" t="str">
        <f>IFERROR(VLOOKUP(D1030,'DATOS REGISTRADOS'!B:C,2,FALSE)," ")</f>
        <v>Martina Pineda</v>
      </c>
      <c r="D1033" s="257"/>
      <c r="E1033" s="258"/>
      <c r="F1033" s="258"/>
      <c r="G1033" s="258"/>
    </row>
    <row r="1034" spans="2:7" x14ac:dyDescent="0.25">
      <c r="B1034" s="151" t="s">
        <v>81</v>
      </c>
      <c r="C1034" s="259" t="str">
        <f>IFERROR(VLOOKUP(D1030,'DATOS REGISTRADOS'!B:Q,3,FALSE)," ")</f>
        <v>Carolina #408 fraccionamiento los pinceles</v>
      </c>
      <c r="D1034" s="260"/>
      <c r="E1034" s="35" t="s">
        <v>82</v>
      </c>
      <c r="F1034" s="258">
        <f>IFERROR(VLOOKUP(D1030,'DATOS REGISTRADOS'!B:Q,7,FALSE)," ")</f>
        <v>8180713039</v>
      </c>
      <c r="G1034" s="258"/>
    </row>
    <row r="1035" spans="2:7" x14ac:dyDescent="0.25">
      <c r="B1035" s="150"/>
      <c r="C1035" s="243" t="str">
        <f>IFERROR(VLOOKUP(D1030,'DATOS REGISTRADOS'!B:Q,4,FALSE)," ")</f>
        <v>a una cuadra de smart hda margaritas</v>
      </c>
      <c r="D1035" s="244"/>
      <c r="E1035" s="150"/>
      <c r="F1035" s="150"/>
      <c r="G1035" s="150"/>
    </row>
    <row r="1036" spans="2:7" x14ac:dyDescent="0.25">
      <c r="B1036" s="150"/>
      <c r="C1036" s="66" t="str">
        <f>IFERROR(VLOOKUP(D1030,'DATOS REGISTRADOS'!B:Q,5,FALSE)," ")</f>
        <v>Apodaca N.L</v>
      </c>
      <c r="D1036" s="67">
        <f>IFERROR(VLOOKUP(D1030,'DATOS REGISTRADOS'!B:Q,6,FALSE)," ")</f>
        <v>66647</v>
      </c>
      <c r="E1036" s="150"/>
      <c r="F1036" s="150"/>
      <c r="G1036" s="150"/>
    </row>
    <row r="1037" spans="2:7" x14ac:dyDescent="0.25">
      <c r="B1037" s="256" t="s">
        <v>83</v>
      </c>
      <c r="C1037" s="262"/>
      <c r="D1037" s="262"/>
      <c r="E1037" s="256"/>
      <c r="F1037" s="256"/>
      <c r="G1037" s="256"/>
    </row>
    <row r="1038" spans="2:7" x14ac:dyDescent="0.25">
      <c r="B1038" s="149" t="s">
        <v>84</v>
      </c>
      <c r="C1038" s="249" t="s">
        <v>85</v>
      </c>
      <c r="D1038" s="249"/>
      <c r="E1038" s="149" t="s">
        <v>86</v>
      </c>
      <c r="F1038" s="149" t="s">
        <v>87</v>
      </c>
      <c r="G1038" s="149" t="s">
        <v>57</v>
      </c>
    </row>
    <row r="1039" spans="2:7" x14ac:dyDescent="0.25">
      <c r="B1039" s="120" t="s">
        <v>126</v>
      </c>
      <c r="C1039" s="241" t="str">
        <f>IFERROR(VLOOKUP(B1039,'Productos '!B:C,2,FALSE)," ")</f>
        <v>Recompra 1 Activador Celular</v>
      </c>
      <c r="D1039" s="242"/>
      <c r="E1039" s="120">
        <v>1</v>
      </c>
      <c r="F1039" s="40">
        <f>IFERROR(VLOOKUP(B1039,'Productos '!B:G,3,FALSE)," ")</f>
        <v>431.0344827586207</v>
      </c>
      <c r="G1039" s="40">
        <f>IFERROR((F1039*E1039)," ")</f>
        <v>431.0344827586207</v>
      </c>
    </row>
    <row r="1040" spans="2:7" x14ac:dyDescent="0.25">
      <c r="B1040" s="120"/>
      <c r="C1040" s="241" t="str">
        <f>IFERROR(VLOOKUP(B1040,'Productos '!B:C,2,FALSE)," ")</f>
        <v xml:space="preserve"> </v>
      </c>
      <c r="D1040" s="242"/>
      <c r="E1040" s="120"/>
      <c r="F1040" s="40" t="str">
        <f>IFERROR(VLOOKUP(B1040,'Productos '!B:G,3,FALSE)," ")</f>
        <v xml:space="preserve"> </v>
      </c>
      <c r="G1040" s="40" t="str">
        <f t="shared" ref="G1040:G1045" si="38">IFERROR((F1040*E1040)," ")</f>
        <v xml:space="preserve"> </v>
      </c>
    </row>
    <row r="1041" spans="2:7" x14ac:dyDescent="0.25">
      <c r="B1041" s="120"/>
      <c r="C1041" s="241" t="str">
        <f>IFERROR(VLOOKUP(B1041,'Productos '!B:C,2,FALSE)," ")</f>
        <v xml:space="preserve"> </v>
      </c>
      <c r="D1041" s="242"/>
      <c r="E1041" s="120"/>
      <c r="F1041" s="40" t="str">
        <f>IFERROR(VLOOKUP(B1041,'Productos '!B:G,3,FALSE)," ")</f>
        <v xml:space="preserve"> </v>
      </c>
      <c r="G1041" s="40" t="str">
        <f t="shared" si="38"/>
        <v xml:space="preserve"> </v>
      </c>
    </row>
    <row r="1042" spans="2:7" x14ac:dyDescent="0.25">
      <c r="B1042" s="120"/>
      <c r="C1042" s="241" t="str">
        <f>IFERROR(VLOOKUP(B1042,'Productos '!B:C,2,FALSE)," ")</f>
        <v xml:space="preserve"> </v>
      </c>
      <c r="D1042" s="242"/>
      <c r="E1042" s="120"/>
      <c r="F1042" s="40" t="str">
        <f>IFERROR(VLOOKUP(B1042,'Productos '!B:G,3,FALSE)," ")</f>
        <v xml:space="preserve"> </v>
      </c>
      <c r="G1042" s="40" t="str">
        <f t="shared" si="38"/>
        <v xml:space="preserve"> </v>
      </c>
    </row>
    <row r="1043" spans="2:7" x14ac:dyDescent="0.25">
      <c r="B1043" s="120"/>
      <c r="C1043" s="241" t="str">
        <f>IFERROR(VLOOKUP(B1043,'Productos '!B:C,2,FALSE)," ")</f>
        <v xml:space="preserve"> </v>
      </c>
      <c r="D1043" s="242"/>
      <c r="E1043" s="120"/>
      <c r="F1043" s="40" t="str">
        <f>IFERROR(VLOOKUP(B1043,'Productos '!B:G,3,FALSE)," ")</f>
        <v xml:space="preserve"> </v>
      </c>
      <c r="G1043" s="40" t="str">
        <f t="shared" si="38"/>
        <v xml:space="preserve"> </v>
      </c>
    </row>
    <row r="1044" spans="2:7" x14ac:dyDescent="0.25">
      <c r="B1044" s="120"/>
      <c r="C1044" s="241" t="str">
        <f>IFERROR(VLOOKUP(B1044,'Productos '!B:C,2,FALSE)," ")</f>
        <v xml:space="preserve"> </v>
      </c>
      <c r="D1044" s="242"/>
      <c r="E1044" s="120"/>
      <c r="F1044" s="40" t="str">
        <f>IFERROR(VLOOKUP(B1044,'Productos '!B:G,3,FALSE)," ")</f>
        <v xml:space="preserve"> </v>
      </c>
      <c r="G1044" s="40" t="str">
        <f t="shared" si="38"/>
        <v xml:space="preserve"> </v>
      </c>
    </row>
    <row r="1045" spans="2:7" x14ac:dyDescent="0.25">
      <c r="B1045" s="120"/>
      <c r="C1045" s="241" t="str">
        <f>IFERROR(VLOOKUP(B1045,'Productos '!B:C,2,FALSE)," ")</f>
        <v xml:space="preserve"> </v>
      </c>
      <c r="D1045" s="242"/>
      <c r="E1045" s="120"/>
      <c r="F1045" s="40" t="str">
        <f>IFERROR(VLOOKUP(B1045,'Productos '!B:G,3,FALSE)," ")</f>
        <v xml:space="preserve"> </v>
      </c>
      <c r="G1045" s="40" t="str">
        <f t="shared" si="38"/>
        <v xml:space="preserve"> </v>
      </c>
    </row>
    <row r="1046" spans="2:7" x14ac:dyDescent="0.25">
      <c r="B1046" s="150"/>
      <c r="C1046" s="253" t="s">
        <v>88</v>
      </c>
      <c r="D1046" s="254"/>
      <c r="E1046" s="38">
        <f>SUM(E1039:E1045)</f>
        <v>1</v>
      </c>
      <c r="F1046" s="149" t="s">
        <v>89</v>
      </c>
      <c r="G1046" s="40">
        <f>SUM(G1039:G1045)</f>
        <v>431.0344827586207</v>
      </c>
    </row>
    <row r="1047" spans="2:7" x14ac:dyDescent="0.25">
      <c r="B1047" s="150"/>
      <c r="C1047" s="150"/>
      <c r="D1047" s="150"/>
      <c r="E1047" s="150"/>
      <c r="F1047" s="149" t="s">
        <v>90</v>
      </c>
      <c r="G1047" s="40">
        <f>G1046*16%</f>
        <v>68.965517241379317</v>
      </c>
    </row>
    <row r="1048" spans="2:7" x14ac:dyDescent="0.25">
      <c r="B1048" s="149" t="s">
        <v>91</v>
      </c>
      <c r="C1048" s="241" t="str">
        <f>IFERROR(VLOOKUP(D1030,'DATOS REGISTRADOS'!B:R,17,FALSE)," ")</f>
        <v>María de los angeles Martínez Villareal</v>
      </c>
      <c r="D1048" s="252"/>
      <c r="E1048" s="242"/>
      <c r="F1048" s="149" t="s">
        <v>57</v>
      </c>
      <c r="G1048" s="68">
        <f>SUM(G1046:G1047)</f>
        <v>500</v>
      </c>
    </row>
    <row r="1049" spans="2:7" x14ac:dyDescent="0.25">
      <c r="B1049" s="245" t="s">
        <v>343</v>
      </c>
      <c r="C1049" s="245"/>
      <c r="D1049" s="245"/>
      <c r="E1049" s="245"/>
      <c r="F1049" s="245"/>
      <c r="G1049" s="245"/>
    </row>
    <row r="1050" spans="2:7" x14ac:dyDescent="0.25">
      <c r="B1050" s="246" t="s">
        <v>124</v>
      </c>
      <c r="C1050" s="247"/>
      <c r="D1050" s="247"/>
      <c r="E1050" s="247"/>
      <c r="F1050" s="247"/>
      <c r="G1050" s="248"/>
    </row>
    <row r="1051" spans="2:7" x14ac:dyDescent="0.25">
      <c r="B1051" s="54" t="s">
        <v>123</v>
      </c>
      <c r="C1051" s="148"/>
      <c r="D1051" s="245" t="s">
        <v>128</v>
      </c>
      <c r="E1051" s="245"/>
      <c r="F1051" s="245"/>
      <c r="G1051" s="245"/>
    </row>
    <row r="1054" spans="2:7" x14ac:dyDescent="0.25">
      <c r="B1054" s="150"/>
      <c r="C1054" s="150"/>
      <c r="D1054" s="150"/>
      <c r="E1054" s="150"/>
      <c r="F1054" s="150"/>
      <c r="G1054" s="150"/>
    </row>
    <row r="1055" spans="2:7" x14ac:dyDescent="0.25">
      <c r="B1055" s="150"/>
      <c r="C1055" s="250" t="s">
        <v>22</v>
      </c>
      <c r="D1055" s="250"/>
      <c r="E1055" s="42"/>
      <c r="F1055" s="150"/>
      <c r="G1055" s="150"/>
    </row>
    <row r="1056" spans="2:7" x14ac:dyDescent="0.25">
      <c r="B1056" s="150"/>
      <c r="C1056" s="251"/>
      <c r="D1056" s="251"/>
      <c r="E1056" s="150"/>
      <c r="F1056" s="43"/>
      <c r="G1056" s="150"/>
    </row>
    <row r="1057" spans="2:7" x14ac:dyDescent="0.25">
      <c r="B1057" s="150"/>
      <c r="C1057" s="27" t="s">
        <v>77</v>
      </c>
      <c r="D1057" s="120">
        <v>41</v>
      </c>
      <c r="E1057" s="149" t="s">
        <v>125</v>
      </c>
      <c r="F1057" s="56">
        <v>37</v>
      </c>
      <c r="G1057" s="150"/>
    </row>
    <row r="1058" spans="2:7" x14ac:dyDescent="0.25">
      <c r="B1058" s="150"/>
      <c r="C1058" s="29" t="s">
        <v>76</v>
      </c>
      <c r="D1058" s="147">
        <f>IFERROR(VLOOKUP(D1057,'DATOS REGISTRADOS'!B:Q,16,FALSE)," ")</f>
        <v>30</v>
      </c>
      <c r="E1058" s="30" t="s">
        <v>78</v>
      </c>
      <c r="F1058" s="31">
        <v>43572</v>
      </c>
      <c r="G1058" s="150"/>
    </row>
    <row r="1059" spans="2:7" x14ac:dyDescent="0.25">
      <c r="B1059" s="256" t="s">
        <v>79</v>
      </c>
      <c r="C1059" s="256"/>
      <c r="D1059" s="256"/>
      <c r="E1059" s="256"/>
      <c r="F1059" s="256"/>
      <c r="G1059" s="256"/>
    </row>
    <row r="1060" spans="2:7" x14ac:dyDescent="0.25">
      <c r="B1060" s="149" t="s">
        <v>80</v>
      </c>
      <c r="C1060" s="257" t="str">
        <f>IFERROR(VLOOKUP(D1057,'DATOS REGISTRADOS'!B:C,2,FALSE)," ")</f>
        <v>Juana Leticia Acosta Llanas</v>
      </c>
      <c r="D1060" s="257"/>
      <c r="E1060" s="258"/>
      <c r="F1060" s="258"/>
      <c r="G1060" s="258"/>
    </row>
    <row r="1061" spans="2:7" x14ac:dyDescent="0.25">
      <c r="B1061" s="151" t="s">
        <v>81</v>
      </c>
      <c r="C1061" s="259" t="str">
        <f>IFERROR(VLOOKUP(D1057,'DATOS REGISTRADOS'!B:Q,3,FALSE)," ")</f>
        <v>Aleli #652 HDA.las margaritas entre girasol y tulipan</v>
      </c>
      <c r="D1061" s="260"/>
      <c r="E1061" s="35" t="s">
        <v>82</v>
      </c>
      <c r="F1061" s="258">
        <f>IFERROR(VLOOKUP(D1057,'DATOS REGISTRADOS'!B:Q,7,FALSE)," ")</f>
        <v>8110377827</v>
      </c>
      <c r="G1061" s="258"/>
    </row>
    <row r="1062" spans="2:7" x14ac:dyDescent="0.25">
      <c r="B1062" s="150"/>
      <c r="C1062" s="243" t="str">
        <f>IFERROR(VLOOKUP(D1057,'DATOS REGISTRADOS'!B:Q,4,FALSE)," ")</f>
        <v>Apodaca N.L</v>
      </c>
      <c r="D1062" s="244"/>
      <c r="E1062" s="150"/>
      <c r="F1062" s="150"/>
      <c r="G1062" s="150"/>
    </row>
    <row r="1063" spans="2:7" x14ac:dyDescent="0.25">
      <c r="B1063" s="150"/>
      <c r="C1063" s="66" t="str">
        <f>IFERROR(VLOOKUP(D1057,'DATOS REGISTRADOS'!B:Q,5,FALSE)," ")</f>
        <v>NL</v>
      </c>
      <c r="D1063" s="67">
        <f>IFERROR(VLOOKUP(D1057,'DATOS REGISTRADOS'!B:Q,6,FALSE)," ")</f>
        <v>66647</v>
      </c>
      <c r="E1063" s="150"/>
      <c r="F1063" s="150"/>
      <c r="G1063" s="150"/>
    </row>
    <row r="1064" spans="2:7" x14ac:dyDescent="0.25">
      <c r="B1064" s="256" t="s">
        <v>83</v>
      </c>
      <c r="C1064" s="262"/>
      <c r="D1064" s="262"/>
      <c r="E1064" s="256"/>
      <c r="F1064" s="256"/>
      <c r="G1064" s="256"/>
    </row>
    <row r="1065" spans="2:7" x14ac:dyDescent="0.25">
      <c r="B1065" s="149" t="s">
        <v>84</v>
      </c>
      <c r="C1065" s="249" t="s">
        <v>85</v>
      </c>
      <c r="D1065" s="249"/>
      <c r="E1065" s="149" t="s">
        <v>86</v>
      </c>
      <c r="F1065" s="149" t="s">
        <v>87</v>
      </c>
      <c r="G1065" s="149" t="s">
        <v>57</v>
      </c>
    </row>
    <row r="1066" spans="2:7" x14ac:dyDescent="0.25">
      <c r="B1066" s="120" t="s">
        <v>126</v>
      </c>
      <c r="C1066" s="241" t="str">
        <f>IFERROR(VLOOKUP(B1066,'Productos '!B:C,2,FALSE)," ")</f>
        <v>Recompra 1 Activador Celular</v>
      </c>
      <c r="D1066" s="242"/>
      <c r="E1066" s="120">
        <v>2</v>
      </c>
      <c r="F1066" s="40">
        <f>IFERROR(VLOOKUP(B1066,'Productos '!B:G,3,FALSE)," ")</f>
        <v>431.0344827586207</v>
      </c>
      <c r="G1066" s="40">
        <f>IFERROR((F1066*E1066)," ")</f>
        <v>862.06896551724139</v>
      </c>
    </row>
    <row r="1067" spans="2:7" x14ac:dyDescent="0.25">
      <c r="B1067" s="120"/>
      <c r="C1067" s="241" t="str">
        <f>IFERROR(VLOOKUP(B1067,'Productos '!B:C,2,FALSE)," ")</f>
        <v xml:space="preserve"> </v>
      </c>
      <c r="D1067" s="242"/>
      <c r="E1067" s="120"/>
      <c r="F1067" s="40" t="str">
        <f>IFERROR(VLOOKUP(B1067,'Productos '!B:G,3,FALSE)," ")</f>
        <v xml:space="preserve"> </v>
      </c>
      <c r="G1067" s="40" t="str">
        <f t="shared" ref="G1067:G1072" si="39">IFERROR((F1067*E1067)," ")</f>
        <v xml:space="preserve"> </v>
      </c>
    </row>
    <row r="1068" spans="2:7" x14ac:dyDescent="0.25">
      <c r="B1068" s="120"/>
      <c r="C1068" s="241" t="str">
        <f>IFERROR(VLOOKUP(B1068,'Productos '!B:C,2,FALSE)," ")</f>
        <v xml:space="preserve"> </v>
      </c>
      <c r="D1068" s="242"/>
      <c r="E1068" s="120"/>
      <c r="F1068" s="40" t="str">
        <f>IFERROR(VLOOKUP(B1068,'Productos '!B:G,3,FALSE)," ")</f>
        <v xml:space="preserve"> </v>
      </c>
      <c r="G1068" s="40" t="str">
        <f t="shared" si="39"/>
        <v xml:space="preserve"> </v>
      </c>
    </row>
    <row r="1069" spans="2:7" x14ac:dyDescent="0.25">
      <c r="B1069" s="120"/>
      <c r="C1069" s="241" t="str">
        <f>IFERROR(VLOOKUP(B1069,'Productos '!B:C,2,FALSE)," ")</f>
        <v xml:space="preserve"> </v>
      </c>
      <c r="D1069" s="242"/>
      <c r="E1069" s="120"/>
      <c r="F1069" s="40" t="str">
        <f>IFERROR(VLOOKUP(B1069,'Productos '!B:G,3,FALSE)," ")</f>
        <v xml:space="preserve"> </v>
      </c>
      <c r="G1069" s="40" t="str">
        <f t="shared" si="39"/>
        <v xml:space="preserve"> </v>
      </c>
    </row>
    <row r="1070" spans="2:7" x14ac:dyDescent="0.25">
      <c r="B1070" s="120"/>
      <c r="C1070" s="241" t="str">
        <f>IFERROR(VLOOKUP(B1070,'Productos '!B:C,2,FALSE)," ")</f>
        <v xml:space="preserve"> </v>
      </c>
      <c r="D1070" s="242"/>
      <c r="E1070" s="120"/>
      <c r="F1070" s="40" t="str">
        <f>IFERROR(VLOOKUP(B1070,'Productos '!B:G,3,FALSE)," ")</f>
        <v xml:space="preserve"> </v>
      </c>
      <c r="G1070" s="40" t="str">
        <f t="shared" si="39"/>
        <v xml:space="preserve"> </v>
      </c>
    </row>
    <row r="1071" spans="2:7" x14ac:dyDescent="0.25">
      <c r="B1071" s="120"/>
      <c r="C1071" s="241" t="str">
        <f>IFERROR(VLOOKUP(B1071,'Productos '!B:C,2,FALSE)," ")</f>
        <v xml:space="preserve"> </v>
      </c>
      <c r="D1071" s="242"/>
      <c r="E1071" s="120"/>
      <c r="F1071" s="40" t="str">
        <f>IFERROR(VLOOKUP(B1071,'Productos '!B:G,3,FALSE)," ")</f>
        <v xml:space="preserve"> </v>
      </c>
      <c r="G1071" s="40" t="str">
        <f t="shared" si="39"/>
        <v xml:space="preserve"> </v>
      </c>
    </row>
    <row r="1072" spans="2:7" x14ac:dyDescent="0.25">
      <c r="B1072" s="120"/>
      <c r="C1072" s="241" t="str">
        <f>IFERROR(VLOOKUP(B1072,'Productos '!B:C,2,FALSE)," ")</f>
        <v xml:space="preserve"> </v>
      </c>
      <c r="D1072" s="242"/>
      <c r="E1072" s="120"/>
      <c r="F1072" s="40" t="str">
        <f>IFERROR(VLOOKUP(B1072,'Productos '!B:G,3,FALSE)," ")</f>
        <v xml:space="preserve"> </v>
      </c>
      <c r="G1072" s="40" t="str">
        <f t="shared" si="39"/>
        <v xml:space="preserve"> </v>
      </c>
    </row>
    <row r="1073" spans="2:7" x14ac:dyDescent="0.25">
      <c r="B1073" s="150"/>
      <c r="C1073" s="253" t="s">
        <v>88</v>
      </c>
      <c r="D1073" s="254"/>
      <c r="E1073" s="38">
        <f>SUM(E1066:E1072)</f>
        <v>2</v>
      </c>
      <c r="F1073" s="149" t="s">
        <v>89</v>
      </c>
      <c r="G1073" s="40">
        <f>SUM(G1066:G1072)</f>
        <v>862.06896551724139</v>
      </c>
    </row>
    <row r="1074" spans="2:7" x14ac:dyDescent="0.25">
      <c r="B1074" s="150"/>
      <c r="C1074" s="150"/>
      <c r="D1074" s="150"/>
      <c r="E1074" s="150"/>
      <c r="F1074" s="149" t="s">
        <v>90</v>
      </c>
      <c r="G1074" s="40">
        <f>G1073*16%</f>
        <v>137.93103448275863</v>
      </c>
    </row>
    <row r="1075" spans="2:7" x14ac:dyDescent="0.25">
      <c r="B1075" s="149" t="s">
        <v>91</v>
      </c>
      <c r="C1075" s="241" t="str">
        <f>IFERROR(VLOOKUP(D1057,'DATOS REGISTRADOS'!B:R,17,FALSE)," ")</f>
        <v>Marina Concepcion Salazar Soto</v>
      </c>
      <c r="D1075" s="252"/>
      <c r="E1075" s="242"/>
      <c r="F1075" s="149" t="s">
        <v>57</v>
      </c>
      <c r="G1075" s="68">
        <f>SUM(G1073:G1074)</f>
        <v>1000</v>
      </c>
    </row>
    <row r="1076" spans="2:7" x14ac:dyDescent="0.25">
      <c r="B1076" s="245" t="s">
        <v>343</v>
      </c>
      <c r="C1076" s="245"/>
      <c r="D1076" s="245"/>
      <c r="E1076" s="245"/>
      <c r="F1076" s="245"/>
      <c r="G1076" s="245"/>
    </row>
    <row r="1077" spans="2:7" x14ac:dyDescent="0.25">
      <c r="B1077" s="246" t="s">
        <v>124</v>
      </c>
      <c r="C1077" s="247"/>
      <c r="D1077" s="247"/>
      <c r="E1077" s="247"/>
      <c r="F1077" s="247"/>
      <c r="G1077" s="248"/>
    </row>
    <row r="1078" spans="2:7" x14ac:dyDescent="0.25">
      <c r="B1078" s="54" t="s">
        <v>123</v>
      </c>
      <c r="C1078" s="148"/>
      <c r="D1078" s="245" t="s">
        <v>128</v>
      </c>
      <c r="E1078" s="245"/>
      <c r="F1078" s="245"/>
      <c r="G1078" s="245"/>
    </row>
    <row r="1081" spans="2:7" x14ac:dyDescent="0.25">
      <c r="B1081" s="144"/>
      <c r="C1081" s="144"/>
      <c r="D1081" s="144"/>
      <c r="E1081" s="144"/>
      <c r="F1081" s="144"/>
      <c r="G1081" s="144"/>
    </row>
    <row r="1082" spans="2:7" x14ac:dyDescent="0.25">
      <c r="B1082" s="144"/>
      <c r="C1082" s="250" t="s">
        <v>22</v>
      </c>
      <c r="D1082" s="250"/>
      <c r="E1082" s="42"/>
      <c r="F1082" s="144"/>
      <c r="G1082" s="144"/>
    </row>
    <row r="1083" spans="2:7" x14ac:dyDescent="0.25">
      <c r="B1083" s="144"/>
      <c r="C1083" s="251"/>
      <c r="D1083" s="251"/>
      <c r="E1083" s="144"/>
      <c r="F1083" s="43"/>
      <c r="G1083" s="144"/>
    </row>
    <row r="1084" spans="2:7" x14ac:dyDescent="0.25">
      <c r="B1084" s="144"/>
      <c r="C1084" s="27" t="s">
        <v>77</v>
      </c>
      <c r="D1084" s="120">
        <v>48</v>
      </c>
      <c r="E1084" s="143" t="s">
        <v>125</v>
      </c>
      <c r="F1084" s="56">
        <v>36</v>
      </c>
      <c r="G1084" s="144"/>
    </row>
    <row r="1085" spans="2:7" x14ac:dyDescent="0.25">
      <c r="B1085" s="144"/>
      <c r="C1085" s="29" t="s">
        <v>76</v>
      </c>
      <c r="D1085" s="146">
        <f>IFERROR(VLOOKUP(D1084,'DATOS REGISTRADOS'!B:Q,16,FALSE)," ")</f>
        <v>36</v>
      </c>
      <c r="E1085" s="30" t="s">
        <v>78</v>
      </c>
      <c r="F1085" s="31" t="s">
        <v>349</v>
      </c>
      <c r="G1085" s="144"/>
    </row>
    <row r="1086" spans="2:7" x14ac:dyDescent="0.25">
      <c r="B1086" s="256" t="s">
        <v>79</v>
      </c>
      <c r="C1086" s="256"/>
      <c r="D1086" s="256"/>
      <c r="E1086" s="256"/>
      <c r="F1086" s="256"/>
      <c r="G1086" s="256"/>
    </row>
    <row r="1087" spans="2:7" x14ac:dyDescent="0.25">
      <c r="B1087" s="143" t="s">
        <v>80</v>
      </c>
      <c r="C1087" s="257" t="str">
        <f>IFERROR(VLOOKUP(D1084,'DATOS REGISTRADOS'!B:C,2,FALSE)," ")</f>
        <v xml:space="preserve"> Martha Patricia Segura Aguilar</v>
      </c>
      <c r="D1087" s="257"/>
      <c r="E1087" s="258"/>
      <c r="F1087" s="258"/>
      <c r="G1087" s="258"/>
    </row>
    <row r="1088" spans="2:7" x14ac:dyDescent="0.25">
      <c r="B1088" s="145" t="s">
        <v>81</v>
      </c>
      <c r="C1088" s="259" t="str">
        <f>IFERROR(VLOOKUP(D1084,'DATOS REGISTRADOS'!B:Q,3,FALSE)," ")</f>
        <v>calle 18 #2139 entre av. la quinta topa con walmart es privada</v>
      </c>
      <c r="D1088" s="260"/>
      <c r="E1088" s="35" t="s">
        <v>82</v>
      </c>
      <c r="F1088" s="258">
        <f>IFERROR(VLOOKUP(D1084,'DATOS REGISTRADOS'!B:Q,7,FALSE)," ")</f>
        <v>8115967690</v>
      </c>
      <c r="G1088" s="258"/>
    </row>
    <row r="1089" spans="2:7" x14ac:dyDescent="0.25">
      <c r="B1089" s="144"/>
      <c r="C1089" s="243" t="str">
        <f>IFERROR(VLOOKUP(D1084,'DATOS REGISTRADOS'!B:Q,4,FALSE)," ")</f>
        <v>col.la quinta guadalupe</v>
      </c>
      <c r="D1089" s="244"/>
      <c r="E1089" s="144"/>
      <c r="F1089" s="144"/>
      <c r="G1089" s="144"/>
    </row>
    <row r="1090" spans="2:7" x14ac:dyDescent="0.25">
      <c r="B1090" s="144"/>
      <c r="C1090" s="66" t="str">
        <f>IFERROR(VLOOKUP(D1084,'DATOS REGISTRADOS'!B:Q,5,FALSE)," ")</f>
        <v>NL</v>
      </c>
      <c r="D1090" s="67">
        <f>IFERROR(VLOOKUP(D1084,'DATOS REGISTRADOS'!B:Q,6,FALSE)," ")</f>
        <v>67175</v>
      </c>
      <c r="E1090" s="144"/>
      <c r="F1090" s="144"/>
      <c r="G1090" s="144"/>
    </row>
    <row r="1091" spans="2:7" x14ac:dyDescent="0.25">
      <c r="B1091" s="256" t="s">
        <v>83</v>
      </c>
      <c r="C1091" s="262"/>
      <c r="D1091" s="262"/>
      <c r="E1091" s="256"/>
      <c r="F1091" s="256"/>
      <c r="G1091" s="256"/>
    </row>
    <row r="1092" spans="2:7" x14ac:dyDescent="0.25">
      <c r="B1092" s="143" t="s">
        <v>84</v>
      </c>
      <c r="C1092" s="249" t="s">
        <v>85</v>
      </c>
      <c r="D1092" s="249"/>
      <c r="E1092" s="143" t="s">
        <v>86</v>
      </c>
      <c r="F1092" s="143" t="s">
        <v>87</v>
      </c>
      <c r="G1092" s="143" t="s">
        <v>57</v>
      </c>
    </row>
    <row r="1093" spans="2:7" x14ac:dyDescent="0.25">
      <c r="B1093" s="120" t="s">
        <v>126</v>
      </c>
      <c r="C1093" s="241" t="str">
        <f>IFERROR(VLOOKUP(B1093,'Productos '!B:C,2,FALSE)," ")</f>
        <v>Recompra 1 Activador Celular</v>
      </c>
      <c r="D1093" s="242"/>
      <c r="E1093" s="120">
        <v>1</v>
      </c>
      <c r="F1093" s="40">
        <f>IFERROR(VLOOKUP(B1093,'Productos '!B:G,3,FALSE)," ")</f>
        <v>431.0344827586207</v>
      </c>
      <c r="G1093" s="40">
        <f>IFERROR((F1093*E1093)," ")</f>
        <v>431.0344827586207</v>
      </c>
    </row>
    <row r="1094" spans="2:7" x14ac:dyDescent="0.25">
      <c r="B1094" s="120" t="s">
        <v>323</v>
      </c>
      <c r="C1094" s="241" t="str">
        <f>IFERROR(VLOOKUP(B1094,'Productos '!B:C,2,FALSE)," ")</f>
        <v>Promoción ActiCell</v>
      </c>
      <c r="D1094" s="242"/>
      <c r="E1094" s="120">
        <v>3</v>
      </c>
      <c r="F1094" s="40">
        <f>IFERROR(VLOOKUP(B1094,'Productos '!B:G,3,FALSE)," ")</f>
        <v>301.72413793103448</v>
      </c>
      <c r="G1094" s="40">
        <f t="shared" ref="G1094:G1099" si="40">IFERROR((F1094*E1094)," ")</f>
        <v>905.17241379310349</v>
      </c>
    </row>
    <row r="1095" spans="2:7" x14ac:dyDescent="0.25">
      <c r="B1095" s="120" t="s">
        <v>325</v>
      </c>
      <c r="C1095" s="241" t="str">
        <f>IFERROR(VLOOKUP(B1095,'Productos '!B:C,2,FALSE)," ")</f>
        <v>Promoción 2cremas</v>
      </c>
      <c r="D1095" s="242"/>
      <c r="E1095" s="120">
        <v>1</v>
      </c>
      <c r="F1095" s="40">
        <f>IFERROR(VLOOKUP(B1095,'Productos '!B:G,3,FALSE)," ")</f>
        <v>258.62068965517244</v>
      </c>
      <c r="G1095" s="40">
        <f t="shared" si="40"/>
        <v>258.62068965517244</v>
      </c>
    </row>
    <row r="1096" spans="2:7" x14ac:dyDescent="0.25">
      <c r="B1096" s="120" t="s">
        <v>321</v>
      </c>
      <c r="C1096" s="241" t="str">
        <f>IFERROR(VLOOKUP(B1096,'Productos '!B:C,2,FALSE)," ")</f>
        <v>Envio</v>
      </c>
      <c r="D1096" s="242"/>
      <c r="E1096" s="120">
        <v>1</v>
      </c>
      <c r="F1096" s="40">
        <f>IFERROR(VLOOKUP(B1096,'Productos '!B:G,3,FALSE)," ")</f>
        <v>103.44827586206897</v>
      </c>
      <c r="G1096" s="40">
        <f t="shared" si="40"/>
        <v>103.44827586206897</v>
      </c>
    </row>
    <row r="1097" spans="2:7" x14ac:dyDescent="0.25">
      <c r="B1097" s="120"/>
      <c r="C1097" s="241" t="str">
        <f>IFERROR(VLOOKUP(B1097,'Productos '!B:C,2,FALSE)," ")</f>
        <v xml:space="preserve"> </v>
      </c>
      <c r="D1097" s="242"/>
      <c r="E1097" s="120"/>
      <c r="F1097" s="40" t="str">
        <f>IFERROR(VLOOKUP(B1097,'Productos '!B:G,3,FALSE)," ")</f>
        <v xml:space="preserve"> </v>
      </c>
      <c r="G1097" s="40" t="str">
        <f t="shared" si="40"/>
        <v xml:space="preserve"> </v>
      </c>
    </row>
    <row r="1098" spans="2:7" x14ac:dyDescent="0.25">
      <c r="B1098" s="120"/>
      <c r="C1098" s="241" t="str">
        <f>IFERROR(VLOOKUP(B1098,'Productos '!B:C,2,FALSE)," ")</f>
        <v xml:space="preserve"> </v>
      </c>
      <c r="D1098" s="242"/>
      <c r="E1098" s="120"/>
      <c r="F1098" s="40" t="str">
        <f>IFERROR(VLOOKUP(B1098,'Productos '!B:G,3,FALSE)," ")</f>
        <v xml:space="preserve"> </v>
      </c>
      <c r="G1098" s="40" t="str">
        <f t="shared" si="40"/>
        <v xml:space="preserve"> </v>
      </c>
    </row>
    <row r="1099" spans="2:7" x14ac:dyDescent="0.25">
      <c r="B1099" s="120"/>
      <c r="C1099" s="241" t="str">
        <f>IFERROR(VLOOKUP(B1099,'Productos '!B:C,2,FALSE)," ")</f>
        <v xml:space="preserve"> </v>
      </c>
      <c r="D1099" s="242"/>
      <c r="E1099" s="120"/>
      <c r="F1099" s="40" t="str">
        <f>IFERROR(VLOOKUP(B1099,'Productos '!B:G,3,FALSE)," ")</f>
        <v xml:space="preserve"> </v>
      </c>
      <c r="G1099" s="40" t="str">
        <f t="shared" si="40"/>
        <v xml:space="preserve"> </v>
      </c>
    </row>
    <row r="1100" spans="2:7" x14ac:dyDescent="0.25">
      <c r="B1100" s="144"/>
      <c r="C1100" s="253" t="s">
        <v>88</v>
      </c>
      <c r="D1100" s="254"/>
      <c r="E1100" s="38">
        <f>SUM(E1093:E1099)</f>
        <v>6</v>
      </c>
      <c r="F1100" s="143" t="s">
        <v>89</v>
      </c>
      <c r="G1100" s="40">
        <f>SUM(G1093:G1099)</f>
        <v>1698.2758620689658</v>
      </c>
    </row>
    <row r="1101" spans="2:7" x14ac:dyDescent="0.25">
      <c r="B1101" s="144"/>
      <c r="C1101" s="144"/>
      <c r="D1101" s="144"/>
      <c r="E1101" s="144"/>
      <c r="F1101" s="143" t="s">
        <v>90</v>
      </c>
      <c r="G1101" s="40">
        <f>G1100*16%</f>
        <v>271.72413793103453</v>
      </c>
    </row>
    <row r="1102" spans="2:7" x14ac:dyDescent="0.25">
      <c r="B1102" s="143" t="s">
        <v>91</v>
      </c>
      <c r="C1102" s="241" t="str">
        <f>IFERROR(VLOOKUP(D1084,'DATOS REGISTRADOS'!B:R,17,FALSE)," ")</f>
        <v>Maria del Carmen Segura Aguilar</v>
      </c>
      <c r="D1102" s="252"/>
      <c r="E1102" s="242"/>
      <c r="F1102" s="143" t="s">
        <v>57</v>
      </c>
      <c r="G1102" s="68">
        <f>SUM(G1100:G1101)</f>
        <v>1970.0000000000005</v>
      </c>
    </row>
    <row r="1103" spans="2:7" x14ac:dyDescent="0.25">
      <c r="B1103" s="245" t="s">
        <v>343</v>
      </c>
      <c r="C1103" s="245"/>
      <c r="D1103" s="245"/>
      <c r="E1103" s="245"/>
      <c r="F1103" s="245"/>
      <c r="G1103" s="245"/>
    </row>
    <row r="1104" spans="2:7" x14ac:dyDescent="0.25">
      <c r="B1104" s="246" t="s">
        <v>124</v>
      </c>
      <c r="C1104" s="247"/>
      <c r="D1104" s="247"/>
      <c r="E1104" s="247"/>
      <c r="F1104" s="247"/>
      <c r="G1104" s="248"/>
    </row>
    <row r="1105" spans="2:7" x14ac:dyDescent="0.25">
      <c r="B1105" s="54" t="s">
        <v>123</v>
      </c>
      <c r="C1105" s="142"/>
      <c r="D1105" s="245" t="s">
        <v>128</v>
      </c>
      <c r="E1105" s="245"/>
      <c r="F1105" s="245"/>
      <c r="G1105" s="245"/>
    </row>
    <row r="1108" spans="2:7" x14ac:dyDescent="0.25">
      <c r="B1108" s="137"/>
      <c r="C1108" s="137"/>
      <c r="D1108" s="137"/>
      <c r="E1108" s="137"/>
      <c r="F1108" s="137"/>
      <c r="G1108" s="137"/>
    </row>
    <row r="1109" spans="2:7" x14ac:dyDescent="0.25">
      <c r="B1109" s="137"/>
      <c r="C1109" s="250" t="s">
        <v>22</v>
      </c>
      <c r="D1109" s="250"/>
      <c r="E1109" s="42"/>
      <c r="F1109" s="137"/>
      <c r="G1109" s="137"/>
    </row>
    <row r="1110" spans="2:7" x14ac:dyDescent="0.25">
      <c r="B1110" s="137"/>
      <c r="C1110" s="251"/>
      <c r="D1110" s="251"/>
      <c r="E1110" s="137"/>
      <c r="F1110" s="43"/>
      <c r="G1110" s="137"/>
    </row>
    <row r="1111" spans="2:7" x14ac:dyDescent="0.25">
      <c r="B1111" s="137"/>
      <c r="C1111" s="27" t="s">
        <v>77</v>
      </c>
      <c r="D1111" s="120">
        <v>11</v>
      </c>
      <c r="E1111" s="141" t="s">
        <v>125</v>
      </c>
      <c r="F1111" s="56">
        <v>35</v>
      </c>
      <c r="G1111" s="137"/>
    </row>
    <row r="1112" spans="2:7" x14ac:dyDescent="0.25">
      <c r="B1112" s="137"/>
      <c r="C1112" s="29" t="s">
        <v>76</v>
      </c>
      <c r="D1112" s="139">
        <f>IFERROR(VLOOKUP(D1111,'DATOS REGISTRADOS'!B:Q,16,FALSE)," ")</f>
        <v>10</v>
      </c>
      <c r="E1112" s="30" t="s">
        <v>78</v>
      </c>
      <c r="F1112" s="31">
        <v>43573</v>
      </c>
      <c r="G1112" s="137"/>
    </row>
    <row r="1113" spans="2:7" x14ac:dyDescent="0.25">
      <c r="B1113" s="256" t="s">
        <v>79</v>
      </c>
      <c r="C1113" s="256"/>
      <c r="D1113" s="256"/>
      <c r="E1113" s="256"/>
      <c r="F1113" s="256"/>
      <c r="G1113" s="256"/>
    </row>
    <row r="1114" spans="2:7" x14ac:dyDescent="0.25">
      <c r="B1114" s="141" t="s">
        <v>80</v>
      </c>
      <c r="C1114" s="257" t="str">
        <f>IFERROR(VLOOKUP(D1111,'DATOS REGISTRADOS'!B:C,2,FALSE)," ")</f>
        <v>Silvano Cavazos Salazar</v>
      </c>
      <c r="D1114" s="257"/>
      <c r="E1114" s="258"/>
      <c r="F1114" s="258"/>
      <c r="G1114" s="258"/>
    </row>
    <row r="1115" spans="2:7" x14ac:dyDescent="0.25">
      <c r="B1115" s="138" t="s">
        <v>81</v>
      </c>
      <c r="C1115" s="259" t="str">
        <f>IFERROR(VLOOKUP(D1111,'DATOS REGISTRADOS'!B:Q,3,FALSE)," ")</f>
        <v>Carolina #436</v>
      </c>
      <c r="D1115" s="260"/>
      <c r="E1115" s="35" t="s">
        <v>82</v>
      </c>
      <c r="F1115" s="258" t="str">
        <f>IFERROR(VLOOKUP(D1111,'DATOS REGISTRADOS'!B:Q,7,FALSE)," ")</f>
        <v>wp 81-23-71-31-11</v>
      </c>
      <c r="G1115" s="258"/>
    </row>
    <row r="1116" spans="2:7" x14ac:dyDescent="0.25">
      <c r="B1116" s="137"/>
      <c r="C1116" s="243" t="str">
        <f>IFERROR(VLOOKUP(D1111,'DATOS REGISTRADOS'!B:Q,4,FALSE)," ")</f>
        <v>Los pinceles, Apocada, NL</v>
      </c>
      <c r="D1116" s="244"/>
      <c r="E1116" s="137"/>
      <c r="F1116" s="137"/>
      <c r="G1116" s="137"/>
    </row>
    <row r="1117" spans="2:7" x14ac:dyDescent="0.25">
      <c r="B1117" s="137"/>
      <c r="C1117" s="66" t="str">
        <f>IFERROR(VLOOKUP(D1111,'DATOS REGISTRADOS'!B:Q,5,FALSE)," ")</f>
        <v>Nuevo León</v>
      </c>
      <c r="D1117" s="67">
        <f>IFERROR(VLOOKUP(D1111,'DATOS REGISTRADOS'!B:Q,6,FALSE)," ")</f>
        <v>66647</v>
      </c>
      <c r="E1117" s="137"/>
      <c r="F1117" s="137"/>
      <c r="G1117" s="137"/>
    </row>
    <row r="1118" spans="2:7" x14ac:dyDescent="0.25">
      <c r="B1118" s="256" t="s">
        <v>83</v>
      </c>
      <c r="C1118" s="262"/>
      <c r="D1118" s="262"/>
      <c r="E1118" s="256"/>
      <c r="F1118" s="256"/>
      <c r="G1118" s="256"/>
    </row>
    <row r="1119" spans="2:7" x14ac:dyDescent="0.25">
      <c r="B1119" s="141" t="s">
        <v>84</v>
      </c>
      <c r="C1119" s="249" t="s">
        <v>85</v>
      </c>
      <c r="D1119" s="249"/>
      <c r="E1119" s="141" t="s">
        <v>86</v>
      </c>
      <c r="F1119" s="141" t="s">
        <v>87</v>
      </c>
      <c r="G1119" s="141" t="s">
        <v>57</v>
      </c>
    </row>
    <row r="1120" spans="2:7" x14ac:dyDescent="0.25">
      <c r="B1120" s="120" t="s">
        <v>126</v>
      </c>
      <c r="C1120" s="241" t="str">
        <f>IFERROR(VLOOKUP(B1120,'Productos '!B:C,2,FALSE)," ")</f>
        <v>Recompra 1 Activador Celular</v>
      </c>
      <c r="D1120" s="242"/>
      <c r="E1120" s="120">
        <v>1</v>
      </c>
      <c r="F1120" s="40">
        <f>IFERROR(VLOOKUP(B1120,'Productos '!B:G,3,FALSE)," ")</f>
        <v>431.0344827586207</v>
      </c>
      <c r="G1120" s="40">
        <f>IFERROR((F1120*E1120)," ")</f>
        <v>431.0344827586207</v>
      </c>
    </row>
    <row r="1121" spans="2:7" x14ac:dyDescent="0.25">
      <c r="B1121" s="120" t="s">
        <v>323</v>
      </c>
      <c r="C1121" s="241" t="str">
        <f>IFERROR(VLOOKUP(B1121,'Productos '!B:C,2,FALSE)," ")</f>
        <v>Promoción ActiCell</v>
      </c>
      <c r="D1121" s="242"/>
      <c r="E1121" s="120">
        <v>1</v>
      </c>
      <c r="F1121" s="40">
        <f>IFERROR(VLOOKUP(B1121,'Productos '!B:G,3,FALSE)," ")</f>
        <v>301.72413793103448</v>
      </c>
      <c r="G1121" s="40">
        <f t="shared" ref="G1121:G1126" si="41">IFERROR((F1121*E1121)," ")</f>
        <v>301.72413793103448</v>
      </c>
    </row>
    <row r="1122" spans="2:7" x14ac:dyDescent="0.25">
      <c r="B1122" s="120"/>
      <c r="C1122" s="241" t="str">
        <f>IFERROR(VLOOKUP(B1122,'Productos '!B:C,2,FALSE)," ")</f>
        <v xml:space="preserve"> </v>
      </c>
      <c r="D1122" s="242"/>
      <c r="E1122" s="120"/>
      <c r="F1122" s="40" t="str">
        <f>IFERROR(VLOOKUP(B1122,'Productos '!B:G,3,FALSE)," ")</f>
        <v xml:space="preserve"> </v>
      </c>
      <c r="G1122" s="40" t="str">
        <f t="shared" si="41"/>
        <v xml:space="preserve"> </v>
      </c>
    </row>
    <row r="1123" spans="2:7" x14ac:dyDescent="0.25">
      <c r="B1123" s="120"/>
      <c r="C1123" s="241" t="str">
        <f>IFERROR(VLOOKUP(B1123,'Productos '!B:C,2,FALSE)," ")</f>
        <v xml:space="preserve"> </v>
      </c>
      <c r="D1123" s="242"/>
      <c r="E1123" s="120"/>
      <c r="F1123" s="40" t="str">
        <f>IFERROR(VLOOKUP(B1123,'Productos '!B:G,3,FALSE)," ")</f>
        <v xml:space="preserve"> </v>
      </c>
      <c r="G1123" s="40" t="str">
        <f t="shared" si="41"/>
        <v xml:space="preserve"> </v>
      </c>
    </row>
    <row r="1124" spans="2:7" x14ac:dyDescent="0.25">
      <c r="B1124" s="120"/>
      <c r="C1124" s="241" t="str">
        <f>IFERROR(VLOOKUP(B1124,'Productos '!B:C,2,FALSE)," ")</f>
        <v xml:space="preserve"> </v>
      </c>
      <c r="D1124" s="242"/>
      <c r="E1124" s="120"/>
      <c r="F1124" s="40" t="str">
        <f>IFERROR(VLOOKUP(B1124,'Productos '!B:G,3,FALSE)," ")</f>
        <v xml:space="preserve"> </v>
      </c>
      <c r="G1124" s="40" t="str">
        <f t="shared" si="41"/>
        <v xml:space="preserve"> </v>
      </c>
    </row>
    <row r="1125" spans="2:7" x14ac:dyDescent="0.25">
      <c r="B1125" s="120"/>
      <c r="C1125" s="241" t="str">
        <f>IFERROR(VLOOKUP(B1125,'Productos '!B:C,2,FALSE)," ")</f>
        <v xml:space="preserve"> </v>
      </c>
      <c r="D1125" s="242"/>
      <c r="E1125" s="120"/>
      <c r="F1125" s="40" t="str">
        <f>IFERROR(VLOOKUP(B1125,'Productos '!B:G,3,FALSE)," ")</f>
        <v xml:space="preserve"> </v>
      </c>
      <c r="G1125" s="40" t="str">
        <f t="shared" si="41"/>
        <v xml:space="preserve"> </v>
      </c>
    </row>
    <row r="1126" spans="2:7" x14ac:dyDescent="0.25">
      <c r="B1126" s="120"/>
      <c r="C1126" s="241" t="str">
        <f>IFERROR(VLOOKUP(B1126,'Productos '!B:C,2,FALSE)," ")</f>
        <v xml:space="preserve"> </v>
      </c>
      <c r="D1126" s="242"/>
      <c r="E1126" s="120"/>
      <c r="F1126" s="40" t="str">
        <f>IFERROR(VLOOKUP(B1126,'Productos '!B:G,3,FALSE)," ")</f>
        <v xml:space="preserve"> </v>
      </c>
      <c r="G1126" s="40" t="str">
        <f t="shared" si="41"/>
        <v xml:space="preserve"> </v>
      </c>
    </row>
    <row r="1127" spans="2:7" x14ac:dyDescent="0.25">
      <c r="B1127" s="137"/>
      <c r="C1127" s="253" t="s">
        <v>88</v>
      </c>
      <c r="D1127" s="254"/>
      <c r="E1127" s="38">
        <f>SUM(E1120:E1126)</f>
        <v>2</v>
      </c>
      <c r="F1127" s="141" t="s">
        <v>89</v>
      </c>
      <c r="G1127" s="40">
        <f>SUM(G1120:G1126)</f>
        <v>732.75862068965512</v>
      </c>
    </row>
    <row r="1128" spans="2:7" x14ac:dyDescent="0.25">
      <c r="B1128" s="137"/>
      <c r="C1128" s="137"/>
      <c r="D1128" s="137"/>
      <c r="E1128" s="137"/>
      <c r="F1128" s="141" t="s">
        <v>90</v>
      </c>
      <c r="G1128" s="40">
        <f>G1127*16%</f>
        <v>117.24137931034483</v>
      </c>
    </row>
    <row r="1129" spans="2:7" x14ac:dyDescent="0.25">
      <c r="B1129" s="141" t="s">
        <v>91</v>
      </c>
      <c r="C1129" s="241" t="str">
        <f>IFERROR(VLOOKUP(D1111,'DATOS REGISTRADOS'!B:R,17,FALSE)," ")</f>
        <v>Héctor Salamanca Salamanca</v>
      </c>
      <c r="D1129" s="252"/>
      <c r="E1129" s="242"/>
      <c r="F1129" s="141" t="s">
        <v>57</v>
      </c>
      <c r="G1129" s="68">
        <f>SUM(G1127:G1128)</f>
        <v>850</v>
      </c>
    </row>
    <row r="1130" spans="2:7" x14ac:dyDescent="0.25">
      <c r="B1130" s="245" t="s">
        <v>343</v>
      </c>
      <c r="C1130" s="245"/>
      <c r="D1130" s="245"/>
      <c r="E1130" s="245"/>
      <c r="F1130" s="245"/>
      <c r="G1130" s="245"/>
    </row>
    <row r="1131" spans="2:7" x14ac:dyDescent="0.25">
      <c r="B1131" s="246" t="s">
        <v>124</v>
      </c>
      <c r="C1131" s="247"/>
      <c r="D1131" s="247"/>
      <c r="E1131" s="247"/>
      <c r="F1131" s="247"/>
      <c r="G1131" s="248"/>
    </row>
    <row r="1132" spans="2:7" x14ac:dyDescent="0.25">
      <c r="B1132" s="54" t="s">
        <v>123</v>
      </c>
      <c r="C1132" s="140"/>
      <c r="D1132" s="245" t="s">
        <v>128</v>
      </c>
      <c r="E1132" s="245"/>
      <c r="F1132" s="245"/>
      <c r="G1132" s="245"/>
    </row>
    <row r="1135" spans="2:7" x14ac:dyDescent="0.25">
      <c r="B1135" s="137"/>
      <c r="C1135" s="137"/>
      <c r="D1135" s="137"/>
      <c r="E1135" s="137"/>
      <c r="F1135" s="137"/>
      <c r="G1135" s="137"/>
    </row>
    <row r="1136" spans="2:7" x14ac:dyDescent="0.25">
      <c r="B1136" s="137"/>
      <c r="C1136" s="250" t="s">
        <v>22</v>
      </c>
      <c r="D1136" s="250"/>
      <c r="E1136" s="42"/>
      <c r="F1136" s="137"/>
      <c r="G1136" s="137"/>
    </row>
    <row r="1137" spans="2:7" x14ac:dyDescent="0.25">
      <c r="B1137" s="137"/>
      <c r="C1137" s="251"/>
      <c r="D1137" s="251"/>
      <c r="E1137" s="137"/>
      <c r="F1137" s="43"/>
      <c r="G1137" s="137"/>
    </row>
    <row r="1138" spans="2:7" x14ac:dyDescent="0.25">
      <c r="B1138" s="137"/>
      <c r="C1138" s="27" t="s">
        <v>77</v>
      </c>
      <c r="D1138" s="120">
        <v>14</v>
      </c>
      <c r="E1138" s="141" t="s">
        <v>125</v>
      </c>
      <c r="F1138" s="56">
        <v>34</v>
      </c>
      <c r="G1138" s="137"/>
    </row>
    <row r="1139" spans="2:7" x14ac:dyDescent="0.25">
      <c r="B1139" s="137"/>
      <c r="C1139" s="29" t="s">
        <v>76</v>
      </c>
      <c r="D1139" s="139">
        <f>IFERROR(VLOOKUP(D1138,'DATOS REGISTRADOS'!B:Q,16,FALSE)," ")</f>
        <v>11</v>
      </c>
      <c r="E1139" s="30" t="s">
        <v>78</v>
      </c>
      <c r="F1139" s="31">
        <v>43573</v>
      </c>
      <c r="G1139" s="137"/>
    </row>
    <row r="1140" spans="2:7" x14ac:dyDescent="0.25">
      <c r="B1140" s="256" t="s">
        <v>79</v>
      </c>
      <c r="C1140" s="256"/>
      <c r="D1140" s="256"/>
      <c r="E1140" s="256"/>
      <c r="F1140" s="256"/>
      <c r="G1140" s="256"/>
    </row>
    <row r="1141" spans="2:7" x14ac:dyDescent="0.25">
      <c r="B1141" s="141" t="s">
        <v>80</v>
      </c>
      <c r="C1141" s="257" t="str">
        <f>IFERROR(VLOOKUP(D1138,'DATOS REGISTRADOS'!B:C,2,FALSE)," ")</f>
        <v>Deyanira Cavazos</v>
      </c>
      <c r="D1141" s="257"/>
      <c r="E1141" s="258"/>
      <c r="F1141" s="258"/>
      <c r="G1141" s="258"/>
    </row>
    <row r="1142" spans="2:7" x14ac:dyDescent="0.25">
      <c r="B1142" s="138" t="s">
        <v>81</v>
      </c>
      <c r="C1142" s="259" t="str">
        <f>IFERROR(VLOOKUP(D1138,'DATOS REGISTRADOS'!B:Q,3,FALSE)," ")</f>
        <v xml:space="preserve">Hidalgo 525 pte </v>
      </c>
      <c r="D1142" s="260"/>
      <c r="E1142" s="35" t="s">
        <v>82</v>
      </c>
      <c r="F1142" s="258">
        <f>IFERROR(VLOOKUP(D1138,'DATOS REGISTRADOS'!B:Q,7,FALSE)," ")</f>
        <v>8116874502</v>
      </c>
      <c r="G1142" s="258"/>
    </row>
    <row r="1143" spans="2:7" x14ac:dyDescent="0.25">
      <c r="B1143" s="137"/>
      <c r="C1143" s="243" t="str">
        <f>IFERROR(VLOOKUP(D1138,'DATOS REGISTRADOS'!B:Q,4,FALSE)," ")</f>
        <v>col centro</v>
      </c>
      <c r="D1143" s="244"/>
      <c r="E1143" s="137"/>
      <c r="F1143" s="137"/>
      <c r="G1143" s="137"/>
    </row>
    <row r="1144" spans="2:7" x14ac:dyDescent="0.25">
      <c r="B1144" s="137"/>
      <c r="C1144" s="66" t="str">
        <f>IFERROR(VLOOKUP(D1138,'DATOS REGISTRADOS'!B:Q,5,FALSE)," ")</f>
        <v>Guadalupe</v>
      </c>
      <c r="D1144" s="67">
        <f>IFERROR(VLOOKUP(D1138,'DATOS REGISTRADOS'!B:Q,6,FALSE)," ")</f>
        <v>67100</v>
      </c>
      <c r="E1144" s="137"/>
      <c r="F1144" s="137"/>
      <c r="G1144" s="137"/>
    </row>
    <row r="1145" spans="2:7" x14ac:dyDescent="0.25">
      <c r="B1145" s="256" t="s">
        <v>83</v>
      </c>
      <c r="C1145" s="262"/>
      <c r="D1145" s="262"/>
      <c r="E1145" s="256"/>
      <c r="F1145" s="256"/>
      <c r="G1145" s="256"/>
    </row>
    <row r="1146" spans="2:7" x14ac:dyDescent="0.25">
      <c r="B1146" s="141" t="s">
        <v>84</v>
      </c>
      <c r="C1146" s="249" t="s">
        <v>85</v>
      </c>
      <c r="D1146" s="249"/>
      <c r="E1146" s="141" t="s">
        <v>86</v>
      </c>
      <c r="F1146" s="141" t="s">
        <v>87</v>
      </c>
      <c r="G1146" s="141" t="s">
        <v>57</v>
      </c>
    </row>
    <row r="1147" spans="2:7" x14ac:dyDescent="0.25">
      <c r="B1147" s="120" t="s">
        <v>126</v>
      </c>
      <c r="C1147" s="241" t="str">
        <f>IFERROR(VLOOKUP(B1147,'Productos '!B:C,2,FALSE)," ")</f>
        <v>Recompra 1 Activador Celular</v>
      </c>
      <c r="D1147" s="242"/>
      <c r="E1147" s="120">
        <v>1</v>
      </c>
      <c r="F1147" s="40">
        <f>IFERROR(VLOOKUP(B1147,'Productos '!B:G,3,FALSE)," ")</f>
        <v>431.0344827586207</v>
      </c>
      <c r="G1147" s="40">
        <f>IFERROR((F1147*E1147)," ")</f>
        <v>431.0344827586207</v>
      </c>
    </row>
    <row r="1148" spans="2:7" x14ac:dyDescent="0.25">
      <c r="B1148" s="120" t="s">
        <v>323</v>
      </c>
      <c r="C1148" s="241" t="str">
        <f>IFERROR(VLOOKUP(B1148,'Productos '!B:C,2,FALSE)," ")</f>
        <v>Promoción ActiCell</v>
      </c>
      <c r="D1148" s="242"/>
      <c r="E1148" s="120">
        <v>1</v>
      </c>
      <c r="F1148" s="40">
        <f>IFERROR(VLOOKUP(B1148,'Productos '!B:G,3,FALSE)," ")</f>
        <v>301.72413793103448</v>
      </c>
      <c r="G1148" s="40">
        <f t="shared" ref="G1148:G1153" si="42">IFERROR((F1148*E1148)," ")</f>
        <v>301.72413793103448</v>
      </c>
    </row>
    <row r="1149" spans="2:7" x14ac:dyDescent="0.25">
      <c r="B1149" s="120"/>
      <c r="C1149" s="241" t="str">
        <f>IFERROR(VLOOKUP(B1149,'Productos '!B:C,2,FALSE)," ")</f>
        <v xml:space="preserve"> </v>
      </c>
      <c r="D1149" s="242"/>
      <c r="E1149" s="120"/>
      <c r="F1149" s="40" t="str">
        <f>IFERROR(VLOOKUP(B1149,'Productos '!B:G,3,FALSE)," ")</f>
        <v xml:space="preserve"> </v>
      </c>
      <c r="G1149" s="40" t="str">
        <f t="shared" si="42"/>
        <v xml:space="preserve"> </v>
      </c>
    </row>
    <row r="1150" spans="2:7" x14ac:dyDescent="0.25">
      <c r="B1150" s="120"/>
      <c r="C1150" s="241" t="str">
        <f>IFERROR(VLOOKUP(B1150,'Productos '!B:C,2,FALSE)," ")</f>
        <v xml:space="preserve"> </v>
      </c>
      <c r="D1150" s="242"/>
      <c r="E1150" s="120"/>
      <c r="F1150" s="40" t="str">
        <f>IFERROR(VLOOKUP(B1150,'Productos '!B:G,3,FALSE)," ")</f>
        <v xml:space="preserve"> </v>
      </c>
      <c r="G1150" s="40" t="str">
        <f t="shared" si="42"/>
        <v xml:space="preserve"> </v>
      </c>
    </row>
    <row r="1151" spans="2:7" x14ac:dyDescent="0.25">
      <c r="B1151" s="120"/>
      <c r="C1151" s="241" t="str">
        <f>IFERROR(VLOOKUP(B1151,'Productos '!B:C,2,FALSE)," ")</f>
        <v xml:space="preserve"> </v>
      </c>
      <c r="D1151" s="242"/>
      <c r="E1151" s="120"/>
      <c r="F1151" s="40" t="str">
        <f>IFERROR(VLOOKUP(B1151,'Productos '!B:G,3,FALSE)," ")</f>
        <v xml:space="preserve"> </v>
      </c>
      <c r="G1151" s="40" t="str">
        <f t="shared" si="42"/>
        <v xml:space="preserve"> </v>
      </c>
    </row>
    <row r="1152" spans="2:7" x14ac:dyDescent="0.25">
      <c r="B1152" s="120"/>
      <c r="C1152" s="241" t="str">
        <f>IFERROR(VLOOKUP(B1152,'Productos '!B:C,2,FALSE)," ")</f>
        <v xml:space="preserve"> </v>
      </c>
      <c r="D1152" s="242"/>
      <c r="E1152" s="120"/>
      <c r="F1152" s="40" t="str">
        <f>IFERROR(VLOOKUP(B1152,'Productos '!B:G,3,FALSE)," ")</f>
        <v xml:space="preserve"> </v>
      </c>
      <c r="G1152" s="40" t="str">
        <f t="shared" si="42"/>
        <v xml:space="preserve"> </v>
      </c>
    </row>
    <row r="1153" spans="2:7" x14ac:dyDescent="0.25">
      <c r="B1153" s="120"/>
      <c r="C1153" s="241" t="str">
        <f>IFERROR(VLOOKUP(B1153,'Productos '!B:C,2,FALSE)," ")</f>
        <v xml:space="preserve"> </v>
      </c>
      <c r="D1153" s="242"/>
      <c r="E1153" s="120"/>
      <c r="F1153" s="40" t="str">
        <f>IFERROR(VLOOKUP(B1153,'Productos '!B:G,3,FALSE)," ")</f>
        <v xml:space="preserve"> </v>
      </c>
      <c r="G1153" s="40" t="str">
        <f t="shared" si="42"/>
        <v xml:space="preserve"> </v>
      </c>
    </row>
    <row r="1154" spans="2:7" x14ac:dyDescent="0.25">
      <c r="B1154" s="137"/>
      <c r="C1154" s="253" t="s">
        <v>88</v>
      </c>
      <c r="D1154" s="254"/>
      <c r="E1154" s="38">
        <f>SUM(E1147:E1153)</f>
        <v>2</v>
      </c>
      <c r="F1154" s="141" t="s">
        <v>89</v>
      </c>
      <c r="G1154" s="40">
        <f>SUM(G1147:G1153)</f>
        <v>732.75862068965512</v>
      </c>
    </row>
    <row r="1155" spans="2:7" x14ac:dyDescent="0.25">
      <c r="B1155" s="137"/>
      <c r="C1155" s="137"/>
      <c r="D1155" s="137"/>
      <c r="E1155" s="137"/>
      <c r="F1155" s="141" t="s">
        <v>90</v>
      </c>
      <c r="G1155" s="40">
        <f>G1154*16%</f>
        <v>117.24137931034483</v>
      </c>
    </row>
    <row r="1156" spans="2:7" x14ac:dyDescent="0.25">
      <c r="B1156" s="141" t="s">
        <v>91</v>
      </c>
      <c r="C1156" s="241" t="str">
        <f>IFERROR(VLOOKUP(D1138,'DATOS REGISTRADOS'!B:R,17,FALSE)," ")</f>
        <v>Silvano Cavazos Salazar</v>
      </c>
      <c r="D1156" s="252"/>
      <c r="E1156" s="242"/>
      <c r="F1156" s="141" t="s">
        <v>57</v>
      </c>
      <c r="G1156" s="68">
        <f>SUM(G1154:G1155)</f>
        <v>850</v>
      </c>
    </row>
    <row r="1157" spans="2:7" x14ac:dyDescent="0.25">
      <c r="B1157" s="245" t="s">
        <v>343</v>
      </c>
      <c r="C1157" s="245"/>
      <c r="D1157" s="245"/>
      <c r="E1157" s="245"/>
      <c r="F1157" s="245"/>
      <c r="G1157" s="245"/>
    </row>
    <row r="1158" spans="2:7" x14ac:dyDescent="0.25">
      <c r="B1158" s="246" t="s">
        <v>124</v>
      </c>
      <c r="C1158" s="247"/>
      <c r="D1158" s="247"/>
      <c r="E1158" s="247"/>
      <c r="F1158" s="247"/>
      <c r="G1158" s="248"/>
    </row>
    <row r="1159" spans="2:7" x14ac:dyDescent="0.25">
      <c r="B1159" s="54" t="s">
        <v>123</v>
      </c>
      <c r="C1159" s="140"/>
      <c r="D1159" s="245" t="s">
        <v>128</v>
      </c>
      <c r="E1159" s="245"/>
      <c r="F1159" s="245"/>
      <c r="G1159" s="245"/>
    </row>
    <row r="1162" spans="2:7" x14ac:dyDescent="0.25">
      <c r="B1162" s="135"/>
      <c r="C1162" s="135"/>
      <c r="D1162" s="135"/>
      <c r="E1162" s="135"/>
      <c r="F1162" s="135"/>
      <c r="G1162" s="135"/>
    </row>
    <row r="1163" spans="2:7" x14ac:dyDescent="0.25">
      <c r="B1163" s="135"/>
      <c r="C1163" s="250" t="s">
        <v>22</v>
      </c>
      <c r="D1163" s="250"/>
      <c r="E1163" s="42"/>
      <c r="F1163" s="135"/>
      <c r="G1163" s="135"/>
    </row>
    <row r="1164" spans="2:7" x14ac:dyDescent="0.25">
      <c r="B1164" s="135"/>
      <c r="C1164" s="251"/>
      <c r="D1164" s="251"/>
      <c r="E1164" s="135"/>
      <c r="F1164" s="43"/>
      <c r="G1164" s="135"/>
    </row>
    <row r="1165" spans="2:7" x14ac:dyDescent="0.25">
      <c r="B1165" s="135"/>
      <c r="C1165" s="27" t="s">
        <v>77</v>
      </c>
      <c r="D1165" s="120">
        <v>44</v>
      </c>
      <c r="E1165" s="134" t="s">
        <v>125</v>
      </c>
      <c r="F1165" s="56">
        <v>33</v>
      </c>
      <c r="G1165" s="135"/>
    </row>
    <row r="1166" spans="2:7" x14ac:dyDescent="0.25">
      <c r="B1166" s="135"/>
      <c r="C1166" s="29" t="s">
        <v>76</v>
      </c>
      <c r="D1166" s="132">
        <f>IFERROR(VLOOKUP(D1165,'DATOS REGISTRADOS'!B:Q,16,FALSE)," ")</f>
        <v>30</v>
      </c>
      <c r="E1166" s="30" t="s">
        <v>78</v>
      </c>
      <c r="F1166" s="31">
        <v>43569</v>
      </c>
      <c r="G1166" s="135"/>
    </row>
    <row r="1167" spans="2:7" x14ac:dyDescent="0.25">
      <c r="B1167" s="256" t="s">
        <v>79</v>
      </c>
      <c r="C1167" s="256"/>
      <c r="D1167" s="256"/>
      <c r="E1167" s="256"/>
      <c r="F1167" s="256"/>
      <c r="G1167" s="256"/>
    </row>
    <row r="1168" spans="2:7" x14ac:dyDescent="0.25">
      <c r="B1168" s="134" t="s">
        <v>80</v>
      </c>
      <c r="C1168" s="257" t="str">
        <f>IFERROR(VLOOKUP(D1165,'DATOS REGISTRADOS'!B:C,2,FALSE)," ")</f>
        <v>Anibal Enriquez Cruz</v>
      </c>
      <c r="D1168" s="257"/>
      <c r="E1168" s="258"/>
      <c r="F1168" s="258"/>
      <c r="G1168" s="258"/>
    </row>
    <row r="1169" spans="2:7" x14ac:dyDescent="0.25">
      <c r="B1169" s="136" t="s">
        <v>81</v>
      </c>
      <c r="C1169" s="259" t="str">
        <f>IFERROR(VLOOKUP(D1165,'DATOS REGISTRADOS'!B:Q,3,FALSE)," ")</f>
        <v>Martha #330 Frac Los candiles Entre Dalia e Ignacio Villarreal</v>
      </c>
      <c r="D1169" s="260"/>
      <c r="E1169" s="35" t="s">
        <v>82</v>
      </c>
      <c r="F1169" s="258" t="str">
        <f>IFERROR(VLOOKUP(D1165,'DATOS REGISTRADOS'!B:Q,7,FALSE)," ")</f>
        <v>8125673724 y wts 8121509075</v>
      </c>
      <c r="G1169" s="258"/>
    </row>
    <row r="1170" spans="2:7" x14ac:dyDescent="0.25">
      <c r="B1170" s="135"/>
      <c r="C1170" s="243" t="str">
        <f>IFERROR(VLOOKUP(D1165,'DATOS REGISTRADOS'!B:Q,4,FALSE)," ")</f>
        <v>Apodaca, NL</v>
      </c>
      <c r="D1170" s="244"/>
      <c r="E1170" s="135"/>
      <c r="F1170" s="135"/>
      <c r="G1170" s="135"/>
    </row>
    <row r="1171" spans="2:7" x14ac:dyDescent="0.25">
      <c r="B1171" s="135"/>
      <c r="C1171" s="66" t="str">
        <f>IFERROR(VLOOKUP(D1165,'DATOS REGISTRADOS'!B:Q,5,FALSE)," ")</f>
        <v>Nuevo Leon</v>
      </c>
      <c r="D1171" s="67">
        <f>IFERROR(VLOOKUP(D1165,'DATOS REGISTRADOS'!B:Q,6,FALSE)," ")</f>
        <v>66647</v>
      </c>
      <c r="E1171" s="135"/>
      <c r="F1171" s="135"/>
      <c r="G1171" s="135"/>
    </row>
    <row r="1172" spans="2:7" x14ac:dyDescent="0.25">
      <c r="B1172" s="256" t="s">
        <v>83</v>
      </c>
      <c r="C1172" s="262"/>
      <c r="D1172" s="262"/>
      <c r="E1172" s="256"/>
      <c r="F1172" s="256"/>
      <c r="G1172" s="256"/>
    </row>
    <row r="1173" spans="2:7" x14ac:dyDescent="0.25">
      <c r="B1173" s="134" t="s">
        <v>84</v>
      </c>
      <c r="C1173" s="249" t="s">
        <v>85</v>
      </c>
      <c r="D1173" s="249"/>
      <c r="E1173" s="134" t="s">
        <v>86</v>
      </c>
      <c r="F1173" s="134" t="s">
        <v>87</v>
      </c>
      <c r="G1173" s="134" t="s">
        <v>57</v>
      </c>
    </row>
    <row r="1174" spans="2:7" x14ac:dyDescent="0.25">
      <c r="B1174" s="120" t="s">
        <v>126</v>
      </c>
      <c r="C1174" s="241" t="str">
        <f>IFERROR(VLOOKUP(B1174,'Productos '!B:C,2,FALSE)," ")</f>
        <v>Recompra 1 Activador Celular</v>
      </c>
      <c r="D1174" s="242"/>
      <c r="E1174" s="120">
        <v>1</v>
      </c>
      <c r="F1174" s="40">
        <f>IFERROR(VLOOKUP(B1174,'Productos '!B:G,3,FALSE)," ")</f>
        <v>431.0344827586207</v>
      </c>
      <c r="G1174" s="40">
        <f>IFERROR((F1174*E1174)," ")</f>
        <v>431.0344827586207</v>
      </c>
    </row>
    <row r="1175" spans="2:7" x14ac:dyDescent="0.25">
      <c r="B1175" s="120"/>
      <c r="C1175" s="241" t="str">
        <f>IFERROR(VLOOKUP(B1175,'Productos '!B:C,2,FALSE)," ")</f>
        <v xml:space="preserve"> </v>
      </c>
      <c r="D1175" s="242"/>
      <c r="E1175" s="120"/>
      <c r="F1175" s="40" t="str">
        <f>IFERROR(VLOOKUP(B1175,'Productos '!B:G,3,FALSE)," ")</f>
        <v xml:space="preserve"> </v>
      </c>
      <c r="G1175" s="40" t="str">
        <f t="shared" ref="G1175:G1180" si="43">IFERROR((F1175*E1175)," ")</f>
        <v xml:space="preserve"> </v>
      </c>
    </row>
    <row r="1176" spans="2:7" x14ac:dyDescent="0.25">
      <c r="B1176" s="120"/>
      <c r="C1176" s="241" t="str">
        <f>IFERROR(VLOOKUP(B1176,'Productos '!B:C,2,FALSE)," ")</f>
        <v xml:space="preserve"> </v>
      </c>
      <c r="D1176" s="242"/>
      <c r="E1176" s="120"/>
      <c r="F1176" s="40" t="str">
        <f>IFERROR(VLOOKUP(B1176,'Productos '!B:G,3,FALSE)," ")</f>
        <v xml:space="preserve"> </v>
      </c>
      <c r="G1176" s="40" t="str">
        <f t="shared" si="43"/>
        <v xml:space="preserve"> </v>
      </c>
    </row>
    <row r="1177" spans="2:7" x14ac:dyDescent="0.25">
      <c r="B1177" s="120"/>
      <c r="C1177" s="241" t="str">
        <f>IFERROR(VLOOKUP(B1177,'Productos '!B:C,2,FALSE)," ")</f>
        <v xml:space="preserve"> </v>
      </c>
      <c r="D1177" s="242"/>
      <c r="E1177" s="120"/>
      <c r="F1177" s="40" t="str">
        <f>IFERROR(VLOOKUP(B1177,'Productos '!B:G,3,FALSE)," ")</f>
        <v xml:space="preserve"> </v>
      </c>
      <c r="G1177" s="40" t="str">
        <f t="shared" si="43"/>
        <v xml:space="preserve"> </v>
      </c>
    </row>
    <row r="1178" spans="2:7" x14ac:dyDescent="0.25">
      <c r="B1178" s="120"/>
      <c r="C1178" s="241" t="str">
        <f>IFERROR(VLOOKUP(B1178,'Productos '!B:C,2,FALSE)," ")</f>
        <v xml:space="preserve"> </v>
      </c>
      <c r="D1178" s="242"/>
      <c r="E1178" s="120"/>
      <c r="F1178" s="40" t="str">
        <f>IFERROR(VLOOKUP(B1178,'Productos '!B:G,3,FALSE)," ")</f>
        <v xml:space="preserve"> </v>
      </c>
      <c r="G1178" s="40" t="str">
        <f t="shared" si="43"/>
        <v xml:space="preserve"> </v>
      </c>
    </row>
    <row r="1179" spans="2:7" x14ac:dyDescent="0.25">
      <c r="B1179" s="120"/>
      <c r="C1179" s="241" t="str">
        <f>IFERROR(VLOOKUP(B1179,'Productos '!B:C,2,FALSE)," ")</f>
        <v xml:space="preserve"> </v>
      </c>
      <c r="D1179" s="242"/>
      <c r="E1179" s="120"/>
      <c r="F1179" s="40" t="str">
        <f>IFERROR(VLOOKUP(B1179,'Productos '!B:G,3,FALSE)," ")</f>
        <v xml:space="preserve"> </v>
      </c>
      <c r="G1179" s="40" t="str">
        <f t="shared" si="43"/>
        <v xml:space="preserve"> </v>
      </c>
    </row>
    <row r="1180" spans="2:7" x14ac:dyDescent="0.25">
      <c r="B1180" s="120"/>
      <c r="C1180" s="241" t="str">
        <f>IFERROR(VLOOKUP(B1180,'Productos '!B:C,2,FALSE)," ")</f>
        <v xml:space="preserve"> </v>
      </c>
      <c r="D1180" s="242"/>
      <c r="E1180" s="120"/>
      <c r="F1180" s="40" t="str">
        <f>IFERROR(VLOOKUP(B1180,'Productos '!B:G,3,FALSE)," ")</f>
        <v xml:space="preserve"> </v>
      </c>
      <c r="G1180" s="40" t="str">
        <f t="shared" si="43"/>
        <v xml:space="preserve"> </v>
      </c>
    </row>
    <row r="1181" spans="2:7" x14ac:dyDescent="0.25">
      <c r="B1181" s="135"/>
      <c r="C1181" s="253" t="s">
        <v>88</v>
      </c>
      <c r="D1181" s="254"/>
      <c r="E1181" s="38">
        <f>SUM(E1174:E1180)</f>
        <v>1</v>
      </c>
      <c r="F1181" s="134" t="s">
        <v>89</v>
      </c>
      <c r="G1181" s="40">
        <f>SUM(G1174:G1180)</f>
        <v>431.0344827586207</v>
      </c>
    </row>
    <row r="1182" spans="2:7" x14ac:dyDescent="0.25">
      <c r="B1182" s="135"/>
      <c r="C1182" s="135"/>
      <c r="D1182" s="135"/>
      <c r="E1182" s="135"/>
      <c r="F1182" s="134" t="s">
        <v>90</v>
      </c>
      <c r="G1182" s="40">
        <f>G1181*16%</f>
        <v>68.965517241379317</v>
      </c>
    </row>
    <row r="1183" spans="2:7" x14ac:dyDescent="0.25">
      <c r="B1183" s="134" t="s">
        <v>91</v>
      </c>
      <c r="C1183" s="241" t="str">
        <f>IFERROR(VLOOKUP(D1165,'DATOS REGISTRADOS'!B:R,17,FALSE)," ")</f>
        <v>Marina Concepcion Salazar Soto</v>
      </c>
      <c r="D1183" s="252"/>
      <c r="E1183" s="242"/>
      <c r="F1183" s="134" t="s">
        <v>57</v>
      </c>
      <c r="G1183" s="68">
        <f>SUM(G1181:G1182)</f>
        <v>500</v>
      </c>
    </row>
    <row r="1184" spans="2:7" x14ac:dyDescent="0.25">
      <c r="B1184" s="245" t="s">
        <v>343</v>
      </c>
      <c r="C1184" s="245"/>
      <c r="D1184" s="245"/>
      <c r="E1184" s="245"/>
      <c r="F1184" s="245"/>
      <c r="G1184" s="245"/>
    </row>
    <row r="1185" spans="2:7" x14ac:dyDescent="0.25">
      <c r="B1185" s="246" t="s">
        <v>124</v>
      </c>
      <c r="C1185" s="247"/>
      <c r="D1185" s="247"/>
      <c r="E1185" s="247"/>
      <c r="F1185" s="247"/>
      <c r="G1185" s="248"/>
    </row>
    <row r="1186" spans="2:7" x14ac:dyDescent="0.25">
      <c r="B1186" s="54" t="s">
        <v>123</v>
      </c>
      <c r="C1186" s="133"/>
      <c r="D1186" s="245" t="s">
        <v>128</v>
      </c>
      <c r="E1186" s="245"/>
      <c r="F1186" s="245"/>
      <c r="G1186" s="245"/>
    </row>
    <row r="1189" spans="2:7" x14ac:dyDescent="0.25">
      <c r="B1189" s="135"/>
      <c r="C1189" s="135"/>
      <c r="D1189" s="135"/>
      <c r="E1189" s="135"/>
      <c r="F1189" s="135"/>
      <c r="G1189" s="135"/>
    </row>
    <row r="1190" spans="2:7" x14ac:dyDescent="0.25">
      <c r="B1190" s="135"/>
      <c r="C1190" s="250" t="s">
        <v>22</v>
      </c>
      <c r="D1190" s="250"/>
      <c r="E1190" s="42"/>
      <c r="F1190" s="135"/>
      <c r="G1190" s="135"/>
    </row>
    <row r="1191" spans="2:7" x14ac:dyDescent="0.25">
      <c r="B1191" s="135"/>
      <c r="C1191" s="251"/>
      <c r="D1191" s="251"/>
      <c r="E1191" s="135"/>
      <c r="F1191" s="43"/>
      <c r="G1191" s="135"/>
    </row>
    <row r="1192" spans="2:7" x14ac:dyDescent="0.25">
      <c r="B1192" s="135"/>
      <c r="C1192" s="27" t="s">
        <v>77</v>
      </c>
      <c r="D1192" s="120">
        <v>34</v>
      </c>
      <c r="E1192" s="134" t="s">
        <v>125</v>
      </c>
      <c r="F1192" s="56">
        <v>32</v>
      </c>
      <c r="G1192" s="135"/>
    </row>
    <row r="1193" spans="2:7" x14ac:dyDescent="0.25">
      <c r="B1193" s="135"/>
      <c r="C1193" s="29" t="s">
        <v>76</v>
      </c>
      <c r="D1193" s="132">
        <f>IFERROR(VLOOKUP(D1192,'DATOS REGISTRADOS'!B:Q,16,FALSE)," ")</f>
        <v>25</v>
      </c>
      <c r="E1193" s="30" t="s">
        <v>78</v>
      </c>
      <c r="F1193" s="31">
        <v>43569</v>
      </c>
      <c r="G1193" s="135"/>
    </row>
    <row r="1194" spans="2:7" x14ac:dyDescent="0.25">
      <c r="B1194" s="256" t="s">
        <v>79</v>
      </c>
      <c r="C1194" s="256"/>
      <c r="D1194" s="256"/>
      <c r="E1194" s="256"/>
      <c r="F1194" s="256"/>
      <c r="G1194" s="256"/>
    </row>
    <row r="1195" spans="2:7" x14ac:dyDescent="0.25">
      <c r="B1195" s="134" t="s">
        <v>80</v>
      </c>
      <c r="C1195" s="257" t="str">
        <f>IFERROR(VLOOKUP(D1192,'DATOS REGISTRADOS'!B:C,2,FALSE)," ")</f>
        <v>Martina Pineda</v>
      </c>
      <c r="D1195" s="257"/>
      <c r="E1195" s="258"/>
      <c r="F1195" s="258"/>
      <c r="G1195" s="258"/>
    </row>
    <row r="1196" spans="2:7" x14ac:dyDescent="0.25">
      <c r="B1196" s="136" t="s">
        <v>81</v>
      </c>
      <c r="C1196" s="259" t="str">
        <f>IFERROR(VLOOKUP(D1192,'DATOS REGISTRADOS'!B:Q,3,FALSE)," ")</f>
        <v>Carolina #408 fraccionamiento los pinceles</v>
      </c>
      <c r="D1196" s="260"/>
      <c r="E1196" s="35" t="s">
        <v>82</v>
      </c>
      <c r="F1196" s="258">
        <f>IFERROR(VLOOKUP(D1192,'DATOS REGISTRADOS'!B:Q,7,FALSE)," ")</f>
        <v>8180713039</v>
      </c>
      <c r="G1196" s="258"/>
    </row>
    <row r="1197" spans="2:7" x14ac:dyDescent="0.25">
      <c r="B1197" s="135"/>
      <c r="C1197" s="243" t="str">
        <f>IFERROR(VLOOKUP(D1192,'DATOS REGISTRADOS'!B:Q,4,FALSE)," ")</f>
        <v>a una cuadra de smart hda margaritas</v>
      </c>
      <c r="D1197" s="244"/>
      <c r="E1197" s="135"/>
      <c r="F1197" s="135"/>
      <c r="G1197" s="135"/>
    </row>
    <row r="1198" spans="2:7" x14ac:dyDescent="0.25">
      <c r="B1198" s="135"/>
      <c r="C1198" s="66" t="str">
        <f>IFERROR(VLOOKUP(D1192,'DATOS REGISTRADOS'!B:Q,5,FALSE)," ")</f>
        <v>Apodaca N.L</v>
      </c>
      <c r="D1198" s="67">
        <f>IFERROR(VLOOKUP(D1192,'DATOS REGISTRADOS'!B:Q,6,FALSE)," ")</f>
        <v>66647</v>
      </c>
      <c r="E1198" s="135"/>
      <c r="F1198" s="135"/>
      <c r="G1198" s="135"/>
    </row>
    <row r="1199" spans="2:7" x14ac:dyDescent="0.25">
      <c r="B1199" s="256" t="s">
        <v>83</v>
      </c>
      <c r="C1199" s="262"/>
      <c r="D1199" s="262"/>
      <c r="E1199" s="256"/>
      <c r="F1199" s="256"/>
      <c r="G1199" s="256"/>
    </row>
    <row r="1200" spans="2:7" x14ac:dyDescent="0.25">
      <c r="B1200" s="134" t="s">
        <v>84</v>
      </c>
      <c r="C1200" s="249" t="s">
        <v>85</v>
      </c>
      <c r="D1200" s="249"/>
      <c r="E1200" s="134" t="s">
        <v>86</v>
      </c>
      <c r="F1200" s="134" t="s">
        <v>87</v>
      </c>
      <c r="G1200" s="134" t="s">
        <v>57</v>
      </c>
    </row>
    <row r="1201" spans="2:7" x14ac:dyDescent="0.25">
      <c r="B1201" s="120" t="s">
        <v>126</v>
      </c>
      <c r="C1201" s="241" t="str">
        <f>IFERROR(VLOOKUP(B1201,'Productos '!B:C,2,FALSE)," ")</f>
        <v>Recompra 1 Activador Celular</v>
      </c>
      <c r="D1201" s="242"/>
      <c r="E1201" s="120">
        <v>1</v>
      </c>
      <c r="F1201" s="40">
        <f>IFERROR(VLOOKUP(B1201,'Productos '!B:G,3,FALSE)," ")</f>
        <v>431.0344827586207</v>
      </c>
      <c r="G1201" s="40">
        <f>IFERROR((F1201*E1201)," ")</f>
        <v>431.0344827586207</v>
      </c>
    </row>
    <row r="1202" spans="2:7" x14ac:dyDescent="0.25">
      <c r="B1202" s="120"/>
      <c r="C1202" s="241" t="str">
        <f>IFERROR(VLOOKUP(B1202,'Productos '!B:C,2,FALSE)," ")</f>
        <v xml:space="preserve"> </v>
      </c>
      <c r="D1202" s="242"/>
      <c r="E1202" s="120"/>
      <c r="F1202" s="40" t="str">
        <f>IFERROR(VLOOKUP(B1202,'Productos '!B:G,3,FALSE)," ")</f>
        <v xml:space="preserve"> </v>
      </c>
      <c r="G1202" s="40" t="str">
        <f t="shared" ref="G1202:G1207" si="44">IFERROR((F1202*E1202)," ")</f>
        <v xml:space="preserve"> </v>
      </c>
    </row>
    <row r="1203" spans="2:7" x14ac:dyDescent="0.25">
      <c r="B1203" s="120"/>
      <c r="C1203" s="241" t="str">
        <f>IFERROR(VLOOKUP(B1203,'Productos '!B:C,2,FALSE)," ")</f>
        <v xml:space="preserve"> </v>
      </c>
      <c r="D1203" s="242"/>
      <c r="E1203" s="120"/>
      <c r="F1203" s="40" t="str">
        <f>IFERROR(VLOOKUP(B1203,'Productos '!B:G,3,FALSE)," ")</f>
        <v xml:space="preserve"> </v>
      </c>
      <c r="G1203" s="40" t="str">
        <f t="shared" si="44"/>
        <v xml:space="preserve"> </v>
      </c>
    </row>
    <row r="1204" spans="2:7" x14ac:dyDescent="0.25">
      <c r="B1204" s="120"/>
      <c r="C1204" s="241" t="str">
        <f>IFERROR(VLOOKUP(B1204,'Productos '!B:C,2,FALSE)," ")</f>
        <v xml:space="preserve"> </v>
      </c>
      <c r="D1204" s="242"/>
      <c r="E1204" s="120"/>
      <c r="F1204" s="40" t="str">
        <f>IFERROR(VLOOKUP(B1204,'Productos '!B:G,3,FALSE)," ")</f>
        <v xml:space="preserve"> </v>
      </c>
      <c r="G1204" s="40" t="str">
        <f t="shared" si="44"/>
        <v xml:space="preserve"> </v>
      </c>
    </row>
    <row r="1205" spans="2:7" x14ac:dyDescent="0.25">
      <c r="B1205" s="120"/>
      <c r="C1205" s="241" t="str">
        <f>IFERROR(VLOOKUP(B1205,'Productos '!B:C,2,FALSE)," ")</f>
        <v xml:space="preserve"> </v>
      </c>
      <c r="D1205" s="242"/>
      <c r="E1205" s="120"/>
      <c r="F1205" s="40" t="str">
        <f>IFERROR(VLOOKUP(B1205,'Productos '!B:G,3,FALSE)," ")</f>
        <v xml:space="preserve"> </v>
      </c>
      <c r="G1205" s="40" t="str">
        <f t="shared" si="44"/>
        <v xml:space="preserve"> </v>
      </c>
    </row>
    <row r="1206" spans="2:7" x14ac:dyDescent="0.25">
      <c r="B1206" s="120"/>
      <c r="C1206" s="241" t="str">
        <f>IFERROR(VLOOKUP(B1206,'Productos '!B:C,2,FALSE)," ")</f>
        <v xml:space="preserve"> </v>
      </c>
      <c r="D1206" s="242"/>
      <c r="E1206" s="120"/>
      <c r="F1206" s="40" t="str">
        <f>IFERROR(VLOOKUP(B1206,'Productos '!B:G,3,FALSE)," ")</f>
        <v xml:space="preserve"> </v>
      </c>
      <c r="G1206" s="40" t="str">
        <f t="shared" si="44"/>
        <v xml:space="preserve"> </v>
      </c>
    </row>
    <row r="1207" spans="2:7" x14ac:dyDescent="0.25">
      <c r="B1207" s="120"/>
      <c r="C1207" s="241" t="str">
        <f>IFERROR(VLOOKUP(B1207,'Productos '!B:C,2,FALSE)," ")</f>
        <v xml:space="preserve"> </v>
      </c>
      <c r="D1207" s="242"/>
      <c r="E1207" s="120"/>
      <c r="F1207" s="40" t="str">
        <f>IFERROR(VLOOKUP(B1207,'Productos '!B:G,3,FALSE)," ")</f>
        <v xml:space="preserve"> </v>
      </c>
      <c r="G1207" s="40" t="str">
        <f t="shared" si="44"/>
        <v xml:space="preserve"> </v>
      </c>
    </row>
    <row r="1208" spans="2:7" x14ac:dyDescent="0.25">
      <c r="B1208" s="135"/>
      <c r="C1208" s="253" t="s">
        <v>88</v>
      </c>
      <c r="D1208" s="254"/>
      <c r="E1208" s="38">
        <f>SUM(E1201:E1207)</f>
        <v>1</v>
      </c>
      <c r="F1208" s="134" t="s">
        <v>89</v>
      </c>
      <c r="G1208" s="40">
        <f>SUM(G1201:G1207)</f>
        <v>431.0344827586207</v>
      </c>
    </row>
    <row r="1209" spans="2:7" x14ac:dyDescent="0.25">
      <c r="B1209" s="135"/>
      <c r="C1209" s="135"/>
      <c r="D1209" s="135"/>
      <c r="E1209" s="135"/>
      <c r="F1209" s="134" t="s">
        <v>90</v>
      </c>
      <c r="G1209" s="40">
        <f>G1208*16%</f>
        <v>68.965517241379317</v>
      </c>
    </row>
    <row r="1210" spans="2:7" x14ac:dyDescent="0.25">
      <c r="B1210" s="134" t="s">
        <v>91</v>
      </c>
      <c r="C1210" s="241" t="str">
        <f>IFERROR(VLOOKUP(D1192,'DATOS REGISTRADOS'!B:R,17,FALSE)," ")</f>
        <v>María de los angeles Martínez Villareal</v>
      </c>
      <c r="D1210" s="252"/>
      <c r="E1210" s="242"/>
      <c r="F1210" s="134" t="s">
        <v>57</v>
      </c>
      <c r="G1210" s="68">
        <f>SUM(G1208:G1209)</f>
        <v>500</v>
      </c>
    </row>
    <row r="1211" spans="2:7" x14ac:dyDescent="0.25">
      <c r="B1211" s="245" t="s">
        <v>343</v>
      </c>
      <c r="C1211" s="245"/>
      <c r="D1211" s="245"/>
      <c r="E1211" s="245"/>
      <c r="F1211" s="245"/>
      <c r="G1211" s="245"/>
    </row>
    <row r="1212" spans="2:7" x14ac:dyDescent="0.25">
      <c r="B1212" s="246" t="s">
        <v>124</v>
      </c>
      <c r="C1212" s="247"/>
      <c r="D1212" s="247"/>
      <c r="E1212" s="247"/>
      <c r="F1212" s="247"/>
      <c r="G1212" s="248"/>
    </row>
    <row r="1213" spans="2:7" x14ac:dyDescent="0.25">
      <c r="B1213" s="54" t="s">
        <v>123</v>
      </c>
      <c r="C1213" s="133"/>
      <c r="D1213" s="245" t="s">
        <v>128</v>
      </c>
      <c r="E1213" s="245"/>
      <c r="F1213" s="245"/>
      <c r="G1213" s="245"/>
    </row>
    <row r="1216" spans="2:7" x14ac:dyDescent="0.25">
      <c r="B1216" s="129" t="s">
        <v>344</v>
      </c>
      <c r="C1216" s="129"/>
      <c r="D1216" s="129"/>
      <c r="E1216" s="129"/>
      <c r="F1216" s="129"/>
      <c r="G1216" s="129"/>
    </row>
    <row r="1217" spans="2:7" x14ac:dyDescent="0.25">
      <c r="B1217" s="129"/>
      <c r="C1217" s="250" t="s">
        <v>22</v>
      </c>
      <c r="D1217" s="250"/>
      <c r="E1217" s="42"/>
      <c r="F1217" s="129"/>
      <c r="G1217" s="129"/>
    </row>
    <row r="1218" spans="2:7" x14ac:dyDescent="0.25">
      <c r="B1218" s="129"/>
      <c r="C1218" s="251"/>
      <c r="D1218" s="251"/>
      <c r="E1218" s="129"/>
      <c r="F1218" s="43"/>
      <c r="G1218" s="129"/>
    </row>
    <row r="1219" spans="2:7" x14ac:dyDescent="0.25">
      <c r="B1219" s="129"/>
      <c r="C1219" s="27" t="s">
        <v>77</v>
      </c>
      <c r="D1219" s="120">
        <v>33</v>
      </c>
      <c r="E1219" s="128" t="s">
        <v>125</v>
      </c>
      <c r="F1219" s="56">
        <v>31</v>
      </c>
      <c r="G1219" s="129"/>
    </row>
    <row r="1220" spans="2:7" x14ac:dyDescent="0.25">
      <c r="B1220" s="129"/>
      <c r="C1220" s="29" t="s">
        <v>76</v>
      </c>
      <c r="D1220" s="126">
        <f>IFERROR(VLOOKUP(D1219,'DATOS REGISTRADOS'!B:Q,16,FALSE)," ")</f>
        <v>25</v>
      </c>
      <c r="E1220" s="30" t="s">
        <v>78</v>
      </c>
      <c r="F1220" s="31">
        <f ca="1">TODAY()</f>
        <v>44377</v>
      </c>
      <c r="G1220" s="129"/>
    </row>
    <row r="1221" spans="2:7" x14ac:dyDescent="0.25">
      <c r="B1221" s="256" t="s">
        <v>79</v>
      </c>
      <c r="C1221" s="256"/>
      <c r="D1221" s="256"/>
      <c r="E1221" s="256"/>
      <c r="F1221" s="256"/>
      <c r="G1221" s="256"/>
    </row>
    <row r="1222" spans="2:7" x14ac:dyDescent="0.25">
      <c r="B1222" s="128" t="s">
        <v>80</v>
      </c>
      <c r="C1222" s="257" t="str">
        <f>IFERROR(VLOOKUP(D1219,'DATOS REGISTRADOS'!B:C,2,FALSE)," ")</f>
        <v>Cindy Guadalupe Rivera Polino</v>
      </c>
      <c r="D1222" s="257"/>
      <c r="E1222" s="258"/>
      <c r="F1222" s="258"/>
      <c r="G1222" s="258"/>
    </row>
    <row r="1223" spans="2:7" x14ac:dyDescent="0.25">
      <c r="B1223" s="130" t="s">
        <v>81</v>
      </c>
      <c r="C1223" s="259" t="str">
        <f>IFERROR(VLOOKUP(D1219,'DATOS REGISTRADOS'!B:Q,3,FALSE)," ")</f>
        <v xml:space="preserve">Río Coatzacoalcos 837 </v>
      </c>
      <c r="D1223" s="260"/>
      <c r="E1223" s="35" t="s">
        <v>82</v>
      </c>
      <c r="F1223" s="258">
        <f>IFERROR(VLOOKUP(D1219,'DATOS REGISTRADOS'!B:Q,7,FALSE)," ")</f>
        <v>8115431377</v>
      </c>
      <c r="G1223" s="258"/>
    </row>
    <row r="1224" spans="2:7" x14ac:dyDescent="0.25">
      <c r="B1224" s="129"/>
      <c r="C1224" s="243" t="str">
        <f>IFERROR(VLOOKUP(D1219,'DATOS REGISTRADOS'!B:Q,4,FALSE)," ")</f>
        <v>Pueblo Nuevo V, Apodaca</v>
      </c>
      <c r="D1224" s="244"/>
      <c r="E1224" s="129"/>
      <c r="F1224" s="129"/>
      <c r="G1224" s="129"/>
    </row>
    <row r="1225" spans="2:7" x14ac:dyDescent="0.25">
      <c r="B1225" s="129"/>
      <c r="C1225" s="66" t="str">
        <f>IFERROR(VLOOKUP(D1219,'DATOS REGISTRADOS'!B:Q,5,FALSE)," ")</f>
        <v>NL</v>
      </c>
      <c r="D1225" s="67">
        <f>IFERROR(VLOOKUP(D1219,'DATOS REGISTRADOS'!B:Q,6,FALSE)," ")</f>
        <v>66646</v>
      </c>
      <c r="E1225" s="129"/>
      <c r="F1225" s="129"/>
      <c r="G1225" s="129"/>
    </row>
    <row r="1226" spans="2:7" x14ac:dyDescent="0.25">
      <c r="B1226" s="256" t="s">
        <v>83</v>
      </c>
      <c r="C1226" s="262"/>
      <c r="D1226" s="262"/>
      <c r="E1226" s="256"/>
      <c r="F1226" s="256"/>
      <c r="G1226" s="256"/>
    </row>
    <row r="1227" spans="2:7" x14ac:dyDescent="0.25">
      <c r="B1227" s="128" t="s">
        <v>84</v>
      </c>
      <c r="C1227" s="249" t="s">
        <v>85</v>
      </c>
      <c r="D1227" s="249"/>
      <c r="E1227" s="128" t="s">
        <v>86</v>
      </c>
      <c r="F1227" s="128" t="s">
        <v>87</v>
      </c>
      <c r="G1227" s="128" t="s">
        <v>57</v>
      </c>
    </row>
    <row r="1228" spans="2:7" x14ac:dyDescent="0.25">
      <c r="B1228" s="120" t="s">
        <v>126</v>
      </c>
      <c r="C1228" s="241" t="str">
        <f>IFERROR(VLOOKUP(B1228,'Productos '!B:C,2,FALSE)," ")</f>
        <v>Recompra 1 Activador Celular</v>
      </c>
      <c r="D1228" s="242"/>
      <c r="E1228" s="120">
        <v>1</v>
      </c>
      <c r="F1228" s="40">
        <f>IFERROR(VLOOKUP(B1228,'Productos '!B:G,3,FALSE)," ")</f>
        <v>431.0344827586207</v>
      </c>
      <c r="G1228" s="40">
        <f>IFERROR((F1228*E1228)," ")</f>
        <v>431.0344827586207</v>
      </c>
    </row>
    <row r="1229" spans="2:7" x14ac:dyDescent="0.25">
      <c r="B1229" s="120" t="s">
        <v>126</v>
      </c>
      <c r="C1229" s="241" t="str">
        <f>IFERROR(VLOOKUP(B1229,'Productos '!B:C,2,FALSE)," ")</f>
        <v>Recompra 1 Activador Celular</v>
      </c>
      <c r="D1229" s="242"/>
      <c r="E1229" s="120">
        <v>1</v>
      </c>
      <c r="F1229" s="40">
        <f>IFERROR(VLOOKUP(B1229,'Productos '!B:G,3,FALSE)," ")</f>
        <v>431.0344827586207</v>
      </c>
      <c r="G1229" s="40">
        <f t="shared" ref="G1229:G1234" si="45">IFERROR((F1229*E1229)," ")</f>
        <v>431.0344827586207</v>
      </c>
    </row>
    <row r="1230" spans="2:7" x14ac:dyDescent="0.25">
      <c r="B1230" s="120" t="s">
        <v>321</v>
      </c>
      <c r="C1230" s="241" t="str">
        <f>IFERROR(VLOOKUP(B1230,'Productos '!B:C,2,FALSE)," ")</f>
        <v>Envio</v>
      </c>
      <c r="D1230" s="242"/>
      <c r="E1230" s="120">
        <v>1</v>
      </c>
      <c r="F1230" s="40">
        <f>IFERROR(VLOOKUP(B1230,'Productos '!B:G,3,FALSE)," ")</f>
        <v>103.44827586206897</v>
      </c>
      <c r="G1230" s="40">
        <f t="shared" si="45"/>
        <v>103.44827586206897</v>
      </c>
    </row>
    <row r="1231" spans="2:7" x14ac:dyDescent="0.25">
      <c r="B1231" s="120"/>
      <c r="C1231" s="241" t="str">
        <f>IFERROR(VLOOKUP(B1231,'Productos '!B:C,2,FALSE)," ")</f>
        <v xml:space="preserve"> </v>
      </c>
      <c r="D1231" s="242"/>
      <c r="E1231" s="120"/>
      <c r="F1231" s="40" t="str">
        <f>IFERROR(VLOOKUP(B1231,'Productos '!B:G,3,FALSE)," ")</f>
        <v xml:space="preserve"> </v>
      </c>
      <c r="G1231" s="40" t="str">
        <f t="shared" si="45"/>
        <v xml:space="preserve"> </v>
      </c>
    </row>
    <row r="1232" spans="2:7" x14ac:dyDescent="0.25">
      <c r="B1232" s="120"/>
      <c r="C1232" s="241" t="str">
        <f>IFERROR(VLOOKUP(B1232,'Productos '!B:C,2,FALSE)," ")</f>
        <v xml:space="preserve"> </v>
      </c>
      <c r="D1232" s="242"/>
      <c r="E1232" s="120"/>
      <c r="F1232" s="40" t="str">
        <f>IFERROR(VLOOKUP(B1232,'Productos '!B:G,3,FALSE)," ")</f>
        <v xml:space="preserve"> </v>
      </c>
      <c r="G1232" s="40" t="str">
        <f t="shared" si="45"/>
        <v xml:space="preserve"> </v>
      </c>
    </row>
    <row r="1233" spans="2:7" x14ac:dyDescent="0.25">
      <c r="B1233" s="120"/>
      <c r="C1233" s="241" t="str">
        <f>IFERROR(VLOOKUP(B1233,'Productos '!B:C,2,FALSE)," ")</f>
        <v xml:space="preserve"> </v>
      </c>
      <c r="D1233" s="242"/>
      <c r="E1233" s="120"/>
      <c r="F1233" s="40" t="str">
        <f>IFERROR(VLOOKUP(B1233,'Productos '!B:G,3,FALSE)," ")</f>
        <v xml:space="preserve"> </v>
      </c>
      <c r="G1233" s="40" t="str">
        <f t="shared" si="45"/>
        <v xml:space="preserve"> </v>
      </c>
    </row>
    <row r="1234" spans="2:7" x14ac:dyDescent="0.25">
      <c r="B1234" s="120"/>
      <c r="C1234" s="241" t="str">
        <f>IFERROR(VLOOKUP(B1234,'Productos '!B:C,2,FALSE)," ")</f>
        <v xml:space="preserve"> </v>
      </c>
      <c r="D1234" s="242"/>
      <c r="E1234" s="120"/>
      <c r="F1234" s="40" t="str">
        <f>IFERROR(VLOOKUP(B1234,'Productos '!B:G,3,FALSE)," ")</f>
        <v xml:space="preserve"> </v>
      </c>
      <c r="G1234" s="40" t="str">
        <f t="shared" si="45"/>
        <v xml:space="preserve"> </v>
      </c>
    </row>
    <row r="1235" spans="2:7" x14ac:dyDescent="0.25">
      <c r="B1235" s="129"/>
      <c r="C1235" s="253" t="s">
        <v>88</v>
      </c>
      <c r="D1235" s="254"/>
      <c r="E1235" s="38">
        <f>SUM(E1228:E1234)</f>
        <v>3</v>
      </c>
      <c r="F1235" s="128" t="s">
        <v>89</v>
      </c>
      <c r="G1235" s="40">
        <f>SUM(G1228:G1234)</f>
        <v>965.51724137931035</v>
      </c>
    </row>
    <row r="1236" spans="2:7" x14ac:dyDescent="0.25">
      <c r="B1236" s="129"/>
      <c r="C1236" s="129"/>
      <c r="D1236" s="129"/>
      <c r="E1236" s="129"/>
      <c r="F1236" s="128" t="s">
        <v>90</v>
      </c>
      <c r="G1236" s="40">
        <f>G1235*16%</f>
        <v>154.48275862068965</v>
      </c>
    </row>
    <row r="1237" spans="2:7" x14ac:dyDescent="0.25">
      <c r="B1237" s="128" t="s">
        <v>91</v>
      </c>
      <c r="C1237" s="241" t="str">
        <f>IFERROR(VLOOKUP(D1219,'DATOS REGISTRADOS'!B:R,17,FALSE)," ")</f>
        <v>María de los angeles Martínez Villareal</v>
      </c>
      <c r="D1237" s="252"/>
      <c r="E1237" s="242"/>
      <c r="F1237" s="128" t="s">
        <v>57</v>
      </c>
      <c r="G1237" s="68">
        <f>SUM(G1235:G1236)</f>
        <v>1120</v>
      </c>
    </row>
    <row r="1238" spans="2:7" x14ac:dyDescent="0.25">
      <c r="B1238" s="245" t="s">
        <v>343</v>
      </c>
      <c r="C1238" s="245"/>
      <c r="D1238" s="245"/>
      <c r="E1238" s="245"/>
      <c r="F1238" s="245"/>
      <c r="G1238" s="245"/>
    </row>
    <row r="1239" spans="2:7" x14ac:dyDescent="0.25">
      <c r="B1239" s="246" t="s">
        <v>124</v>
      </c>
      <c r="C1239" s="247"/>
      <c r="D1239" s="247"/>
      <c r="E1239" s="247"/>
      <c r="F1239" s="247"/>
      <c r="G1239" s="248"/>
    </row>
    <row r="1240" spans="2:7" x14ac:dyDescent="0.25">
      <c r="B1240" s="54" t="s">
        <v>123</v>
      </c>
      <c r="C1240" s="127"/>
      <c r="D1240" s="245" t="s">
        <v>128</v>
      </c>
      <c r="E1240" s="245"/>
      <c r="F1240" s="245"/>
      <c r="G1240" s="245"/>
    </row>
    <row r="1243" spans="2:7" x14ac:dyDescent="0.25">
      <c r="B1243" s="123"/>
      <c r="C1243" s="123"/>
      <c r="D1243" s="123"/>
      <c r="E1243" s="123"/>
      <c r="F1243" s="123"/>
      <c r="G1243" s="123"/>
    </row>
    <row r="1244" spans="2:7" x14ac:dyDescent="0.25">
      <c r="B1244" s="123"/>
      <c r="C1244" s="250" t="s">
        <v>22</v>
      </c>
      <c r="D1244" s="250"/>
      <c r="E1244" s="42"/>
      <c r="F1244" s="123"/>
      <c r="G1244" s="123"/>
    </row>
    <row r="1245" spans="2:7" x14ac:dyDescent="0.25">
      <c r="B1245" s="123"/>
      <c r="C1245" s="251"/>
      <c r="D1245" s="251"/>
      <c r="E1245" s="123"/>
      <c r="F1245" s="43"/>
      <c r="G1245" s="123"/>
    </row>
    <row r="1246" spans="2:7" x14ac:dyDescent="0.25">
      <c r="B1246" s="123"/>
      <c r="C1246" s="27" t="s">
        <v>77</v>
      </c>
      <c r="D1246" s="120">
        <v>43</v>
      </c>
      <c r="E1246" s="122" t="s">
        <v>125</v>
      </c>
      <c r="F1246" s="56">
        <v>30</v>
      </c>
      <c r="G1246" s="123"/>
    </row>
    <row r="1247" spans="2:7" x14ac:dyDescent="0.25">
      <c r="B1247" s="123"/>
      <c r="C1247" s="29" t="s">
        <v>76</v>
      </c>
      <c r="D1247" s="125">
        <f>IFERROR(VLOOKUP(D1246,'DATOS REGISTRADOS'!B:Q,16,FALSE)," ")</f>
        <v>32</v>
      </c>
      <c r="E1247" s="30" t="s">
        <v>78</v>
      </c>
      <c r="F1247" s="31">
        <f ca="1">TODAY()</f>
        <v>44377</v>
      </c>
      <c r="G1247" s="123"/>
    </row>
    <row r="1248" spans="2:7" x14ac:dyDescent="0.25">
      <c r="B1248" s="256" t="s">
        <v>79</v>
      </c>
      <c r="C1248" s="256"/>
      <c r="D1248" s="256"/>
      <c r="E1248" s="256"/>
      <c r="F1248" s="256"/>
      <c r="G1248" s="256"/>
    </row>
    <row r="1249" spans="2:9" x14ac:dyDescent="0.25">
      <c r="B1249" s="122" t="s">
        <v>80</v>
      </c>
      <c r="C1249" s="257" t="str">
        <f>IFERROR(VLOOKUP(D1246,'DATOS REGISTRADOS'!B:C,2,FALSE)," ")</f>
        <v>Silveria Cortez Perez</v>
      </c>
      <c r="D1249" s="257"/>
      <c r="E1249" s="258"/>
      <c r="F1249" s="258"/>
      <c r="G1249" s="258"/>
    </row>
    <row r="1250" spans="2:9" x14ac:dyDescent="0.25">
      <c r="B1250" s="124" t="s">
        <v>81</v>
      </c>
      <c r="C1250" s="259" t="str">
        <f>IFERROR(VLOOKUP(D1246,'DATOS REGISTRADOS'!B:Q,3,FALSE)," ")</f>
        <v>Disel #118 col.residencial los Robles</v>
      </c>
      <c r="D1250" s="260"/>
      <c r="E1250" s="35" t="s">
        <v>82</v>
      </c>
      <c r="F1250" s="258" t="str">
        <f>IFERROR(VLOOKUP(D1246,'DATOS REGISTRADOS'!B:Q,7,FALSE)," ")</f>
        <v>No se proporcionó</v>
      </c>
      <c r="G1250" s="258"/>
    </row>
    <row r="1251" spans="2:9" x14ac:dyDescent="0.25">
      <c r="B1251" s="123"/>
      <c r="C1251" s="243" t="str">
        <f>IFERROR(VLOOKUP(D1246,'DATOS REGISTRADOS'!B:Q,4,FALSE)," ")</f>
        <v>entre Av.del triunfo poniente y Benjamin Franklin</v>
      </c>
      <c r="D1251" s="244"/>
      <c r="E1251" s="123"/>
      <c r="F1251" s="123"/>
      <c r="G1251" s="123"/>
    </row>
    <row r="1252" spans="2:9" x14ac:dyDescent="0.25">
      <c r="B1252" s="123"/>
      <c r="C1252" s="66" t="str">
        <f>IFERROR(VLOOKUP(D1246,'DATOS REGISTRADOS'!B:Q,5,FALSE)," ")</f>
        <v>Apodaca NL</v>
      </c>
      <c r="D1252" s="67">
        <f>IFERROR(VLOOKUP(D1246,'DATOS REGISTRADOS'!B:Q,6,FALSE)," ")</f>
        <v>66636</v>
      </c>
      <c r="E1252" s="123"/>
      <c r="F1252" s="123"/>
      <c r="G1252" s="123"/>
    </row>
    <row r="1253" spans="2:9" x14ac:dyDescent="0.25">
      <c r="B1253" s="256" t="s">
        <v>83</v>
      </c>
      <c r="C1253" s="262"/>
      <c r="D1253" s="262"/>
      <c r="E1253" s="256"/>
      <c r="F1253" s="256"/>
      <c r="G1253" s="256"/>
    </row>
    <row r="1254" spans="2:9" x14ac:dyDescent="0.25">
      <c r="B1254" s="122" t="s">
        <v>84</v>
      </c>
      <c r="C1254" s="249" t="s">
        <v>85</v>
      </c>
      <c r="D1254" s="249"/>
      <c r="E1254" s="122" t="s">
        <v>86</v>
      </c>
      <c r="F1254" s="122" t="s">
        <v>87</v>
      </c>
      <c r="G1254" s="122" t="s">
        <v>57</v>
      </c>
    </row>
    <row r="1255" spans="2:9" x14ac:dyDescent="0.25">
      <c r="B1255" s="120" t="s">
        <v>328</v>
      </c>
      <c r="C1255" s="241" t="str">
        <f>IFERROR(VLOOKUP(B1255,'Productos '!B:C,2,FALSE)," ")</f>
        <v>Promoción 5cremas</v>
      </c>
      <c r="D1255" s="242"/>
      <c r="E1255" s="120">
        <v>1</v>
      </c>
      <c r="F1255" s="40">
        <f>IFERROR(VLOOKUP(B1255,'Productos '!B:G,3,FALSE)," ")</f>
        <v>517.24137931034488</v>
      </c>
      <c r="G1255" s="40">
        <f>IFERROR((F1255*E1255)," ")</f>
        <v>517.24137931034488</v>
      </c>
      <c r="I1255">
        <v>15</v>
      </c>
    </row>
    <row r="1256" spans="2:9" x14ac:dyDescent="0.25">
      <c r="B1256" s="120" t="s">
        <v>126</v>
      </c>
      <c r="C1256" s="241" t="str">
        <f>IFERROR(VLOOKUP(B1256,'Productos '!B:C,2,FALSE)," ")</f>
        <v>Recompra 1 Activador Celular</v>
      </c>
      <c r="D1256" s="242"/>
      <c r="E1256" s="120">
        <v>1</v>
      </c>
      <c r="F1256" s="40">
        <f>IFERROR(VLOOKUP(B1256,'Productos '!B:G,3,FALSE)," ")</f>
        <v>431.0344827586207</v>
      </c>
      <c r="G1256" s="40">
        <f t="shared" ref="G1256:G1261" si="46">IFERROR((F1256*E1256)," ")</f>
        <v>431.0344827586207</v>
      </c>
      <c r="I1256">
        <v>-9</v>
      </c>
    </row>
    <row r="1257" spans="2:9" x14ac:dyDescent="0.25">
      <c r="B1257" s="120" t="s">
        <v>321</v>
      </c>
      <c r="C1257" s="241" t="str">
        <f>IFERROR(VLOOKUP(B1257,'Productos '!B:C,2,FALSE)," ")</f>
        <v>Envio</v>
      </c>
      <c r="D1257" s="242"/>
      <c r="E1257" s="120">
        <v>1</v>
      </c>
      <c r="F1257" s="40">
        <f>IFERROR(VLOOKUP(B1257,'Productos '!B:G,3,FALSE)," ")</f>
        <v>103.44827586206897</v>
      </c>
      <c r="G1257" s="40">
        <f t="shared" si="46"/>
        <v>103.44827586206897</v>
      </c>
      <c r="I1257">
        <v>-2</v>
      </c>
    </row>
    <row r="1258" spans="2:9" x14ac:dyDescent="0.25">
      <c r="B1258" s="120"/>
      <c r="C1258" s="241" t="str">
        <f>IFERROR(VLOOKUP(B1258,'Productos '!B:C,2,FALSE)," ")</f>
        <v xml:space="preserve"> </v>
      </c>
      <c r="D1258" s="242"/>
      <c r="E1258" s="120"/>
      <c r="F1258" s="40" t="str">
        <f>IFERROR(VLOOKUP(B1258,'Productos '!B:G,3,FALSE)," ")</f>
        <v xml:space="preserve"> </v>
      </c>
      <c r="G1258" s="40" t="str">
        <f t="shared" si="46"/>
        <v xml:space="preserve"> </v>
      </c>
      <c r="I1258">
        <f>SUM(I1255:I1257)</f>
        <v>4</v>
      </c>
    </row>
    <row r="1259" spans="2:9" x14ac:dyDescent="0.25">
      <c r="B1259" s="120"/>
      <c r="C1259" s="241" t="str">
        <f>IFERROR(VLOOKUP(B1259,'Productos '!B:C,2,FALSE)," ")</f>
        <v xml:space="preserve"> </v>
      </c>
      <c r="D1259" s="242"/>
      <c r="E1259" s="120"/>
      <c r="F1259" s="40" t="str">
        <f>IFERROR(VLOOKUP(B1259,'Productos '!B:G,3,FALSE)," ")</f>
        <v xml:space="preserve"> </v>
      </c>
      <c r="G1259" s="40" t="str">
        <f t="shared" si="46"/>
        <v xml:space="preserve"> </v>
      </c>
    </row>
    <row r="1260" spans="2:9" x14ac:dyDescent="0.25">
      <c r="B1260" s="120"/>
      <c r="C1260" s="241" t="str">
        <f>IFERROR(VLOOKUP(B1260,'Productos '!B:C,2,FALSE)," ")</f>
        <v xml:space="preserve"> </v>
      </c>
      <c r="D1260" s="242"/>
      <c r="E1260" s="120"/>
      <c r="F1260" s="40" t="str">
        <f>IFERROR(VLOOKUP(B1260,'Productos '!B:G,3,FALSE)," ")</f>
        <v xml:space="preserve"> </v>
      </c>
      <c r="G1260" s="40" t="str">
        <f t="shared" si="46"/>
        <v xml:space="preserve"> </v>
      </c>
    </row>
    <row r="1261" spans="2:9" x14ac:dyDescent="0.25">
      <c r="B1261" s="120"/>
      <c r="C1261" s="241" t="str">
        <f>IFERROR(VLOOKUP(B1261,'Productos '!B:C,2,FALSE)," ")</f>
        <v xml:space="preserve"> </v>
      </c>
      <c r="D1261" s="242"/>
      <c r="E1261" s="120"/>
      <c r="F1261" s="40" t="str">
        <f>IFERROR(VLOOKUP(B1261,'Productos '!B:G,3,FALSE)," ")</f>
        <v xml:space="preserve"> </v>
      </c>
      <c r="G1261" s="40" t="str">
        <f t="shared" si="46"/>
        <v xml:space="preserve"> </v>
      </c>
    </row>
    <row r="1262" spans="2:9" x14ac:dyDescent="0.25">
      <c r="B1262" s="123"/>
      <c r="C1262" s="253" t="s">
        <v>88</v>
      </c>
      <c r="D1262" s="254"/>
      <c r="E1262" s="38">
        <f>SUM(E1255:E1261)</f>
        <v>3</v>
      </c>
      <c r="F1262" s="122" t="s">
        <v>89</v>
      </c>
      <c r="G1262" s="40">
        <f>SUM(G1255:G1261)</f>
        <v>1051.7241379310346</v>
      </c>
    </row>
    <row r="1263" spans="2:9" x14ac:dyDescent="0.25">
      <c r="B1263" s="123"/>
      <c r="C1263" s="123"/>
      <c r="D1263" s="123"/>
      <c r="E1263" s="123"/>
      <c r="F1263" s="122" t="s">
        <v>90</v>
      </c>
      <c r="G1263" s="40">
        <f>G1262*16%</f>
        <v>168.27586206896555</v>
      </c>
    </row>
    <row r="1264" spans="2:9" x14ac:dyDescent="0.25">
      <c r="B1264" s="122" t="s">
        <v>91</v>
      </c>
      <c r="C1264" s="241" t="str">
        <f>IFERROR(VLOOKUP(D1246,'DATOS REGISTRADOS'!B:R,17,FALSE)," ")</f>
        <v>Teresa Rivera Cortez</v>
      </c>
      <c r="D1264" s="252"/>
      <c r="E1264" s="242"/>
      <c r="F1264" s="122" t="s">
        <v>57</v>
      </c>
      <c r="G1264" s="68">
        <f>SUM(G1262:G1263)</f>
        <v>1220.0000000000002</v>
      </c>
    </row>
    <row r="1265" spans="2:7" x14ac:dyDescent="0.25">
      <c r="B1265" s="245" t="s">
        <v>343</v>
      </c>
      <c r="C1265" s="245"/>
      <c r="D1265" s="245"/>
      <c r="E1265" s="245"/>
      <c r="F1265" s="245"/>
      <c r="G1265" s="245"/>
    </row>
    <row r="1266" spans="2:7" x14ac:dyDescent="0.25">
      <c r="B1266" s="246" t="s">
        <v>124</v>
      </c>
      <c r="C1266" s="247"/>
      <c r="D1266" s="247"/>
      <c r="E1266" s="247"/>
      <c r="F1266" s="247"/>
      <c r="G1266" s="248"/>
    </row>
    <row r="1267" spans="2:7" x14ac:dyDescent="0.25">
      <c r="B1267" s="54" t="s">
        <v>123</v>
      </c>
      <c r="C1267" s="121"/>
      <c r="D1267" s="245" t="s">
        <v>128</v>
      </c>
      <c r="E1267" s="245"/>
      <c r="F1267" s="245"/>
      <c r="G1267" s="245"/>
    </row>
    <row r="1270" spans="2:7" x14ac:dyDescent="0.25">
      <c r="B1270" s="115"/>
      <c r="C1270" s="115"/>
      <c r="D1270" s="115"/>
      <c r="E1270" s="115"/>
      <c r="F1270" s="115"/>
      <c r="G1270" s="115"/>
    </row>
    <row r="1271" spans="2:7" x14ac:dyDescent="0.25">
      <c r="B1271" s="115"/>
      <c r="C1271" s="250" t="s">
        <v>22</v>
      </c>
      <c r="D1271" s="250"/>
      <c r="E1271" s="42"/>
      <c r="F1271" s="115"/>
      <c r="G1271" s="115"/>
    </row>
    <row r="1272" spans="2:7" x14ac:dyDescent="0.25">
      <c r="B1272" s="115"/>
      <c r="C1272" s="251"/>
      <c r="D1272" s="251"/>
      <c r="E1272" s="115"/>
      <c r="F1272" s="43"/>
      <c r="G1272" s="115"/>
    </row>
    <row r="1273" spans="2:7" x14ac:dyDescent="0.25">
      <c r="B1273" s="115"/>
      <c r="C1273" s="27" t="s">
        <v>77</v>
      </c>
      <c r="D1273" s="120">
        <v>32</v>
      </c>
      <c r="E1273" s="119" t="s">
        <v>125</v>
      </c>
      <c r="F1273" s="56">
        <v>29</v>
      </c>
      <c r="G1273" s="115"/>
    </row>
    <row r="1274" spans="2:7" x14ac:dyDescent="0.25">
      <c r="B1274" s="115"/>
      <c r="C1274" s="29" t="s">
        <v>76</v>
      </c>
      <c r="D1274" s="117">
        <f>IFERROR(VLOOKUP(D1273,'DATOS REGISTRADOS'!B:Q,16,FALSE)," ")</f>
        <v>23</v>
      </c>
      <c r="E1274" s="30" t="s">
        <v>78</v>
      </c>
      <c r="F1274" s="31">
        <f ca="1">TODAY()</f>
        <v>44377</v>
      </c>
      <c r="G1274" s="115"/>
    </row>
    <row r="1275" spans="2:7" x14ac:dyDescent="0.25">
      <c r="B1275" s="256" t="s">
        <v>79</v>
      </c>
      <c r="C1275" s="256"/>
      <c r="D1275" s="256"/>
      <c r="E1275" s="256"/>
      <c r="F1275" s="256"/>
      <c r="G1275" s="256"/>
    </row>
    <row r="1276" spans="2:7" x14ac:dyDescent="0.25">
      <c r="B1276" s="119" t="s">
        <v>80</v>
      </c>
      <c r="C1276" s="257" t="str">
        <f>IFERROR(VLOOKUP(D1273,'DATOS REGISTRADOS'!B:C,2,FALSE)," ")</f>
        <v>Teresa Rivera Cortez</v>
      </c>
      <c r="D1276" s="257"/>
      <c r="E1276" s="258"/>
      <c r="F1276" s="258"/>
      <c r="G1276" s="258"/>
    </row>
    <row r="1277" spans="2:7" x14ac:dyDescent="0.25">
      <c r="B1277" s="116" t="s">
        <v>81</v>
      </c>
      <c r="C1277" s="259" t="str">
        <f>IFERROR(VLOOKUP(D1273,'DATOS REGISTRADOS'!B:Q,3,FALSE)," ")</f>
        <v>rey Fernando de aragon # 739 entre Cristobal Colon y puerto de palos</v>
      </c>
      <c r="D1277" s="260"/>
      <c r="E1277" s="35" t="s">
        <v>82</v>
      </c>
      <c r="F1277" s="258">
        <f>IFERROR(VLOOKUP(D1273,'DATOS REGISTRADOS'!B:Q,7,FALSE)," ")</f>
        <v>8115698175</v>
      </c>
      <c r="G1277" s="258"/>
    </row>
    <row r="1278" spans="2:7" x14ac:dyDescent="0.25">
      <c r="B1278" s="115"/>
      <c r="C1278" s="243" t="str">
        <f>IFERROR(VLOOKUP(D1273,'DATOS REGISTRADOS'!B:Q,4,FALSE)," ")</f>
        <v>colonia quinto centenario general Escobedo</v>
      </c>
      <c r="D1278" s="244"/>
      <c r="E1278" s="115"/>
      <c r="F1278" s="115"/>
      <c r="G1278" s="115"/>
    </row>
    <row r="1279" spans="2:7" x14ac:dyDescent="0.25">
      <c r="B1279" s="115"/>
      <c r="C1279" s="66" t="str">
        <f>IFERROR(VLOOKUP(D1273,'DATOS REGISTRADOS'!B:Q,5,FALSE)," ")</f>
        <v>Nuevo Leon</v>
      </c>
      <c r="D1279" s="67">
        <f>IFERROR(VLOOKUP(D1273,'DATOS REGISTRADOS'!B:Q,6,FALSE)," ")</f>
        <v>66072</v>
      </c>
      <c r="E1279" s="115"/>
      <c r="F1279" s="115"/>
      <c r="G1279" s="115"/>
    </row>
    <row r="1280" spans="2:7" x14ac:dyDescent="0.25">
      <c r="B1280" s="256" t="s">
        <v>83</v>
      </c>
      <c r="C1280" s="262"/>
      <c r="D1280" s="262"/>
      <c r="E1280" s="256"/>
      <c r="F1280" s="256"/>
      <c r="G1280" s="256"/>
    </row>
    <row r="1281" spans="2:7" x14ac:dyDescent="0.25">
      <c r="B1281" s="119" t="s">
        <v>84</v>
      </c>
      <c r="C1281" s="249" t="s">
        <v>85</v>
      </c>
      <c r="D1281" s="249"/>
      <c r="E1281" s="119" t="s">
        <v>86</v>
      </c>
      <c r="F1281" s="119" t="s">
        <v>87</v>
      </c>
      <c r="G1281" s="119" t="s">
        <v>57</v>
      </c>
    </row>
    <row r="1282" spans="2:7" x14ac:dyDescent="0.25">
      <c r="B1282" s="120" t="s">
        <v>328</v>
      </c>
      <c r="C1282" s="241" t="str">
        <f>IFERROR(VLOOKUP(B1282,'Productos '!B:C,2,FALSE)," ")</f>
        <v>Promoción 5cremas</v>
      </c>
      <c r="D1282" s="242"/>
      <c r="E1282" s="120">
        <v>1</v>
      </c>
      <c r="F1282" s="40">
        <f>IFERROR(VLOOKUP(B1282,'Productos '!B:G,3,FALSE)," ")</f>
        <v>517.24137931034488</v>
      </c>
      <c r="G1282" s="40">
        <f>IFERROR((F1282*E1282)," ")</f>
        <v>517.24137931034488</v>
      </c>
    </row>
    <row r="1283" spans="2:7" x14ac:dyDescent="0.25">
      <c r="B1283" s="120" t="s">
        <v>334</v>
      </c>
      <c r="C1283" s="241" t="str">
        <f>IFERROR(VLOOKUP(B1283,'Productos '!B:C,2,FALSE)," ")</f>
        <v>Promoción 3Minoxidil</v>
      </c>
      <c r="D1283" s="242"/>
      <c r="E1283" s="120">
        <v>1</v>
      </c>
      <c r="F1283" s="40">
        <f>IFERROR(VLOOKUP(B1283,'Productos '!B:G,3,FALSE)," ")</f>
        <v>258.62068965517244</v>
      </c>
      <c r="G1283" s="40">
        <f t="shared" ref="G1283:G1288" si="47">IFERROR((F1283*E1283)," ")</f>
        <v>258.62068965517244</v>
      </c>
    </row>
    <row r="1284" spans="2:7" x14ac:dyDescent="0.25">
      <c r="B1284" s="120" t="s">
        <v>126</v>
      </c>
      <c r="C1284" s="241" t="str">
        <f>IFERROR(VLOOKUP(B1284,'Productos '!B:C,2,FALSE)," ")</f>
        <v>Recompra 1 Activador Celular</v>
      </c>
      <c r="D1284" s="242"/>
      <c r="E1284" s="120">
        <v>1</v>
      </c>
      <c r="F1284" s="40">
        <f>IFERROR(VLOOKUP(B1284,'Productos '!B:G,3,FALSE)," ")</f>
        <v>431.0344827586207</v>
      </c>
      <c r="G1284" s="40">
        <f t="shared" si="47"/>
        <v>431.0344827586207</v>
      </c>
    </row>
    <row r="1285" spans="2:7" x14ac:dyDescent="0.25">
      <c r="B1285" s="120" t="s">
        <v>323</v>
      </c>
      <c r="C1285" s="241" t="str">
        <f>IFERROR(VLOOKUP(B1285,'Productos '!B:C,2,FALSE)," ")</f>
        <v>Promoción ActiCell</v>
      </c>
      <c r="D1285" s="242"/>
      <c r="E1285" s="120">
        <v>3</v>
      </c>
      <c r="F1285" s="40">
        <f>IFERROR(VLOOKUP(B1285,'Productos '!B:G,3,FALSE)," ")</f>
        <v>301.72413793103448</v>
      </c>
      <c r="G1285" s="40">
        <f t="shared" si="47"/>
        <v>905.17241379310349</v>
      </c>
    </row>
    <row r="1286" spans="2:7" x14ac:dyDescent="0.25">
      <c r="B1286" s="120" t="s">
        <v>321</v>
      </c>
      <c r="C1286" s="241" t="str">
        <f>IFERROR(VLOOKUP(B1286,'Productos '!B:C,2,FALSE)," ")</f>
        <v>Envio</v>
      </c>
      <c r="D1286" s="242"/>
      <c r="E1286" s="120">
        <v>2</v>
      </c>
      <c r="F1286" s="40">
        <f>IFERROR(VLOOKUP(B1286,'Productos '!B:G,3,FALSE)," ")</f>
        <v>103.44827586206897</v>
      </c>
      <c r="G1286" s="40">
        <f t="shared" si="47"/>
        <v>206.89655172413794</v>
      </c>
    </row>
    <row r="1287" spans="2:7" x14ac:dyDescent="0.25">
      <c r="B1287" s="120"/>
      <c r="C1287" s="241" t="str">
        <f>IFERROR(VLOOKUP(B1287,'Productos '!B:C,2,FALSE)," ")</f>
        <v xml:space="preserve"> </v>
      </c>
      <c r="D1287" s="242"/>
      <c r="E1287" s="120"/>
      <c r="F1287" s="40" t="str">
        <f>IFERROR(VLOOKUP(B1287,'Productos '!B:G,3,FALSE)," ")</f>
        <v xml:space="preserve"> </v>
      </c>
      <c r="G1287" s="40" t="str">
        <f t="shared" si="47"/>
        <v xml:space="preserve"> </v>
      </c>
    </row>
    <row r="1288" spans="2:7" x14ac:dyDescent="0.25">
      <c r="B1288" s="120"/>
      <c r="C1288" s="241" t="str">
        <f>IFERROR(VLOOKUP(B1288,'Productos '!B:C,2,FALSE)," ")</f>
        <v xml:space="preserve"> </v>
      </c>
      <c r="D1288" s="242"/>
      <c r="E1288" s="120"/>
      <c r="F1288" s="40" t="str">
        <f>IFERROR(VLOOKUP(B1288,'Productos '!B:G,3,FALSE)," ")</f>
        <v xml:space="preserve"> </v>
      </c>
      <c r="G1288" s="40" t="str">
        <f t="shared" si="47"/>
        <v xml:space="preserve"> </v>
      </c>
    </row>
    <row r="1289" spans="2:7" x14ac:dyDescent="0.25">
      <c r="B1289" s="115"/>
      <c r="C1289" s="253" t="s">
        <v>88</v>
      </c>
      <c r="D1289" s="254"/>
      <c r="E1289" s="38">
        <f>SUM(E1282:E1288)</f>
        <v>8</v>
      </c>
      <c r="F1289" s="119" t="s">
        <v>89</v>
      </c>
      <c r="G1289" s="40">
        <f>SUM(G1282:G1288)</f>
        <v>2318.96551724138</v>
      </c>
    </row>
    <row r="1290" spans="2:7" x14ac:dyDescent="0.25">
      <c r="B1290" s="115"/>
      <c r="C1290" s="115"/>
      <c r="D1290" s="115"/>
      <c r="E1290" s="115"/>
      <c r="F1290" s="119" t="s">
        <v>90</v>
      </c>
      <c r="G1290" s="40">
        <f>G1289*16%</f>
        <v>371.03448275862081</v>
      </c>
    </row>
    <row r="1291" spans="2:7" x14ac:dyDescent="0.25">
      <c r="B1291" s="119" t="s">
        <v>91</v>
      </c>
      <c r="C1291" s="241" t="str">
        <f>IFERROR(VLOOKUP(D1273,'DATOS REGISTRADOS'!B:R,17,FALSE)," ")</f>
        <v>Bertha Vázquez</v>
      </c>
      <c r="D1291" s="252"/>
      <c r="E1291" s="242"/>
      <c r="F1291" s="119" t="s">
        <v>57</v>
      </c>
      <c r="G1291" s="68">
        <f>SUM(G1289:G1290)</f>
        <v>2690.0000000000009</v>
      </c>
    </row>
    <row r="1292" spans="2:7" x14ac:dyDescent="0.25">
      <c r="B1292" s="245" t="s">
        <v>343</v>
      </c>
      <c r="C1292" s="245"/>
      <c r="D1292" s="245"/>
      <c r="E1292" s="245"/>
      <c r="F1292" s="245"/>
      <c r="G1292" s="245"/>
    </row>
    <row r="1293" spans="2:7" x14ac:dyDescent="0.25">
      <c r="B1293" s="246" t="s">
        <v>124</v>
      </c>
      <c r="C1293" s="247"/>
      <c r="D1293" s="247"/>
      <c r="E1293" s="247"/>
      <c r="F1293" s="247"/>
      <c r="G1293" s="248"/>
    </row>
    <row r="1294" spans="2:7" x14ac:dyDescent="0.25">
      <c r="B1294" s="54" t="s">
        <v>123</v>
      </c>
      <c r="C1294" s="118"/>
      <c r="D1294" s="245" t="s">
        <v>128</v>
      </c>
      <c r="E1294" s="245"/>
      <c r="F1294" s="245"/>
      <c r="G1294" s="245"/>
    </row>
    <row r="1297" spans="2:7" x14ac:dyDescent="0.25">
      <c r="B1297" s="115"/>
      <c r="C1297" s="115"/>
      <c r="D1297" s="115"/>
      <c r="E1297" s="115"/>
      <c r="F1297" s="115"/>
      <c r="G1297" s="115"/>
    </row>
    <row r="1298" spans="2:7" x14ac:dyDescent="0.25">
      <c r="B1298" s="115"/>
      <c r="C1298" s="250" t="s">
        <v>22</v>
      </c>
      <c r="D1298" s="250"/>
      <c r="E1298" s="42"/>
      <c r="F1298" s="115"/>
      <c r="G1298" s="115"/>
    </row>
    <row r="1299" spans="2:7" x14ac:dyDescent="0.25">
      <c r="B1299" s="115"/>
      <c r="C1299" s="251"/>
      <c r="D1299" s="251"/>
      <c r="E1299" s="115"/>
      <c r="F1299" s="43"/>
      <c r="G1299" s="115"/>
    </row>
    <row r="1300" spans="2:7" x14ac:dyDescent="0.25">
      <c r="B1300" s="115"/>
      <c r="C1300" s="27" t="s">
        <v>77</v>
      </c>
      <c r="D1300" s="120">
        <v>40</v>
      </c>
      <c r="E1300" s="119" t="s">
        <v>125</v>
      </c>
      <c r="F1300" s="56">
        <v>28</v>
      </c>
      <c r="G1300" s="115"/>
    </row>
    <row r="1301" spans="2:7" x14ac:dyDescent="0.25">
      <c r="B1301" s="115"/>
      <c r="C1301" s="29" t="s">
        <v>76</v>
      </c>
      <c r="D1301" s="117">
        <f>IFERROR(VLOOKUP(D1300,'DATOS REGISTRADOS'!B:Q,16,FALSE)," ")</f>
        <v>39</v>
      </c>
      <c r="E1301" s="30" t="s">
        <v>78</v>
      </c>
      <c r="F1301" s="31">
        <f ca="1">TODAY()</f>
        <v>44377</v>
      </c>
      <c r="G1301" s="115"/>
    </row>
    <row r="1302" spans="2:7" x14ac:dyDescent="0.25">
      <c r="B1302" s="256" t="s">
        <v>79</v>
      </c>
      <c r="C1302" s="256"/>
      <c r="D1302" s="256"/>
      <c r="E1302" s="256"/>
      <c r="F1302" s="256"/>
      <c r="G1302" s="256"/>
    </row>
    <row r="1303" spans="2:7" x14ac:dyDescent="0.25">
      <c r="B1303" s="119" t="s">
        <v>80</v>
      </c>
      <c r="C1303" s="257" t="str">
        <f>IFERROR(VLOOKUP(D1300,'DATOS REGISTRADOS'!B:C,2,FALSE)," ")</f>
        <v>Minerva Monsivais Alcala</v>
      </c>
      <c r="D1303" s="257"/>
      <c r="E1303" s="258"/>
      <c r="F1303" s="258"/>
      <c r="G1303" s="258"/>
    </row>
    <row r="1304" spans="2:7" x14ac:dyDescent="0.25">
      <c r="B1304" s="116" t="s">
        <v>81</v>
      </c>
      <c r="C1304" s="259" t="str">
        <f>IFERROR(VLOOKUP(D1300,'DATOS REGISTRADOS'!B:Q,3,FALSE)," ")</f>
        <v>Pedro de Jesus Gonzales orendain # 1015</v>
      </c>
      <c r="D1304" s="260"/>
      <c r="E1304" s="35" t="s">
        <v>82</v>
      </c>
      <c r="F1304" s="258">
        <f>IFERROR(VLOOKUP(D1300,'DATOS REGISTRADOS'!B:Q,7,FALSE)," ")</f>
        <v>8211195572</v>
      </c>
      <c r="G1304" s="258"/>
    </row>
    <row r="1305" spans="2:7" x14ac:dyDescent="0.25">
      <c r="B1305" s="115"/>
      <c r="C1305" s="243" t="str">
        <f>IFERROR(VLOOKUP(D1300,'DATOS REGISTRADOS'!B:Q,4,FALSE)," ")</f>
        <v>infonavit misiones de San Gerardo</v>
      </c>
      <c r="D1305" s="244"/>
      <c r="E1305" s="115"/>
      <c r="F1305" s="115"/>
      <c r="G1305" s="115"/>
    </row>
    <row r="1306" spans="2:7" x14ac:dyDescent="0.25">
      <c r="B1306" s="115"/>
      <c r="C1306" s="66" t="str">
        <f>IFERROR(VLOOKUP(D1300,'DATOS REGISTRADOS'!B:Q,5,FALSE)," ")</f>
        <v>Linares, NL</v>
      </c>
      <c r="D1306" s="67">
        <f>IFERROR(VLOOKUP(D1300,'DATOS REGISTRADOS'!B:Q,6,FALSE)," ")</f>
        <v>67778</v>
      </c>
      <c r="E1306" s="115"/>
      <c r="F1306" s="115"/>
      <c r="G1306" s="115"/>
    </row>
    <row r="1307" spans="2:7" x14ac:dyDescent="0.25">
      <c r="B1307" s="256" t="s">
        <v>83</v>
      </c>
      <c r="C1307" s="262"/>
      <c r="D1307" s="262"/>
      <c r="E1307" s="256"/>
      <c r="F1307" s="256"/>
      <c r="G1307" s="256"/>
    </row>
    <row r="1308" spans="2:7" x14ac:dyDescent="0.25">
      <c r="B1308" s="119" t="s">
        <v>84</v>
      </c>
      <c r="C1308" s="249" t="s">
        <v>85</v>
      </c>
      <c r="D1308" s="249"/>
      <c r="E1308" s="119" t="s">
        <v>86</v>
      </c>
      <c r="F1308" s="119" t="s">
        <v>87</v>
      </c>
      <c r="G1308" s="119" t="s">
        <v>57</v>
      </c>
    </row>
    <row r="1309" spans="2:7" x14ac:dyDescent="0.25">
      <c r="B1309" s="120" t="s">
        <v>126</v>
      </c>
      <c r="C1309" s="241" t="str">
        <f>IFERROR(VLOOKUP(B1309,'Productos '!B:C,2,FALSE)," ")</f>
        <v>Recompra 1 Activador Celular</v>
      </c>
      <c r="D1309" s="242"/>
      <c r="E1309" s="120">
        <v>1</v>
      </c>
      <c r="F1309" s="40">
        <f>IFERROR(VLOOKUP(B1309,'Productos '!B:G,3,FALSE)," ")</f>
        <v>431.0344827586207</v>
      </c>
      <c r="G1309" s="40">
        <f>IFERROR((F1309*E1309)," ")</f>
        <v>431.0344827586207</v>
      </c>
    </row>
    <row r="1310" spans="2:7" x14ac:dyDescent="0.25">
      <c r="B1310" s="120" t="s">
        <v>323</v>
      </c>
      <c r="C1310" s="241" t="str">
        <f>IFERROR(VLOOKUP(B1310,'Productos '!B:C,2,FALSE)," ")</f>
        <v>Promoción ActiCell</v>
      </c>
      <c r="D1310" s="242"/>
      <c r="E1310" s="120">
        <v>2</v>
      </c>
      <c r="F1310" s="40">
        <f>IFERROR(VLOOKUP(B1310,'Productos '!B:G,3,FALSE)," ")</f>
        <v>301.72413793103448</v>
      </c>
      <c r="G1310" s="40">
        <f t="shared" ref="G1310:G1315" si="48">IFERROR((F1310*E1310)," ")</f>
        <v>603.44827586206895</v>
      </c>
    </row>
    <row r="1311" spans="2:7" x14ac:dyDescent="0.25">
      <c r="B1311" s="120" t="s">
        <v>325</v>
      </c>
      <c r="C1311" s="241" t="str">
        <f>IFERROR(VLOOKUP(B1311,'Productos '!B:C,2,FALSE)," ")</f>
        <v>Promoción 2cremas</v>
      </c>
      <c r="D1311" s="242"/>
      <c r="E1311" s="120">
        <v>1</v>
      </c>
      <c r="F1311" s="40">
        <f>IFERROR(VLOOKUP(B1311,'Productos '!B:G,3,FALSE)," ")</f>
        <v>258.62068965517244</v>
      </c>
      <c r="G1311" s="40">
        <f t="shared" si="48"/>
        <v>258.62068965517244</v>
      </c>
    </row>
    <row r="1312" spans="2:7" x14ac:dyDescent="0.25">
      <c r="B1312" s="120" t="s">
        <v>321</v>
      </c>
      <c r="C1312" s="241" t="str">
        <f>IFERROR(VLOOKUP(B1312,'Productos '!B:C,2,FALSE)," ")</f>
        <v>Envio</v>
      </c>
      <c r="D1312" s="242"/>
      <c r="E1312" s="120">
        <v>2</v>
      </c>
      <c r="F1312" s="40">
        <f>IFERROR(VLOOKUP(B1312,'Productos '!B:G,3,FALSE)," ")</f>
        <v>103.44827586206897</v>
      </c>
      <c r="G1312" s="40">
        <f t="shared" si="48"/>
        <v>206.89655172413794</v>
      </c>
    </row>
    <row r="1313" spans="2:7" x14ac:dyDescent="0.25">
      <c r="B1313" s="120"/>
      <c r="C1313" s="241" t="str">
        <f>IFERROR(VLOOKUP(B1313,'Productos '!B:C,2,FALSE)," ")</f>
        <v xml:space="preserve"> </v>
      </c>
      <c r="D1313" s="242"/>
      <c r="E1313" s="120"/>
      <c r="F1313" s="40" t="str">
        <f>IFERROR(VLOOKUP(B1313,'Productos '!B:G,3,FALSE)," ")</f>
        <v xml:space="preserve"> </v>
      </c>
      <c r="G1313" s="40" t="str">
        <f t="shared" si="48"/>
        <v xml:space="preserve"> </v>
      </c>
    </row>
    <row r="1314" spans="2:7" x14ac:dyDescent="0.25">
      <c r="B1314" s="120"/>
      <c r="C1314" s="241" t="str">
        <f>IFERROR(VLOOKUP(B1314,'Productos '!B:C,2,FALSE)," ")</f>
        <v xml:space="preserve"> </v>
      </c>
      <c r="D1314" s="242"/>
      <c r="E1314" s="120"/>
      <c r="F1314" s="40" t="str">
        <f>IFERROR(VLOOKUP(B1314,'Productos '!B:G,3,FALSE)," ")</f>
        <v xml:space="preserve"> </v>
      </c>
      <c r="G1314" s="40" t="str">
        <f t="shared" si="48"/>
        <v xml:space="preserve"> </v>
      </c>
    </row>
    <row r="1315" spans="2:7" x14ac:dyDescent="0.25">
      <c r="B1315" s="120"/>
      <c r="C1315" s="241" t="str">
        <f>IFERROR(VLOOKUP(B1315,'Productos '!B:C,2,FALSE)," ")</f>
        <v xml:space="preserve"> </v>
      </c>
      <c r="D1315" s="242"/>
      <c r="E1315" s="120"/>
      <c r="F1315" s="40" t="str">
        <f>IFERROR(VLOOKUP(B1315,'Productos '!B:G,3,FALSE)," ")</f>
        <v xml:space="preserve"> </v>
      </c>
      <c r="G1315" s="40" t="str">
        <f t="shared" si="48"/>
        <v xml:space="preserve"> </v>
      </c>
    </row>
    <row r="1316" spans="2:7" x14ac:dyDescent="0.25">
      <c r="B1316" s="115"/>
      <c r="C1316" s="253" t="s">
        <v>88</v>
      </c>
      <c r="D1316" s="254"/>
      <c r="E1316" s="38">
        <f>SUM(E1309:E1315)</f>
        <v>6</v>
      </c>
      <c r="F1316" s="119" t="s">
        <v>89</v>
      </c>
      <c r="G1316" s="40">
        <f>SUM(G1309:G1315)</f>
        <v>1500.0000000000002</v>
      </c>
    </row>
    <row r="1317" spans="2:7" x14ac:dyDescent="0.25">
      <c r="B1317" s="115"/>
      <c r="C1317" s="115"/>
      <c r="D1317" s="115"/>
      <c r="E1317" s="115"/>
      <c r="F1317" s="119" t="s">
        <v>90</v>
      </c>
      <c r="G1317" s="40">
        <f>G1316*16%</f>
        <v>240.00000000000003</v>
      </c>
    </row>
    <row r="1318" spans="2:7" x14ac:dyDescent="0.25">
      <c r="B1318" s="119" t="s">
        <v>91</v>
      </c>
      <c r="C1318" s="241" t="str">
        <f>IFERROR(VLOOKUP(D1300,'DATOS REGISTRADOS'!B:R,17,FALSE)," ")</f>
        <v>Cruz Monsivais Alcala</v>
      </c>
      <c r="D1318" s="252"/>
      <c r="E1318" s="242"/>
      <c r="F1318" s="119" t="s">
        <v>57</v>
      </c>
      <c r="G1318" s="68">
        <f>SUM(G1316:G1317)</f>
        <v>1740.0000000000002</v>
      </c>
    </row>
    <row r="1319" spans="2:7" x14ac:dyDescent="0.25">
      <c r="B1319" s="245" t="s">
        <v>343</v>
      </c>
      <c r="C1319" s="245"/>
      <c r="D1319" s="245"/>
      <c r="E1319" s="245"/>
      <c r="F1319" s="245"/>
      <c r="G1319" s="245"/>
    </row>
    <row r="1320" spans="2:7" x14ac:dyDescent="0.25">
      <c r="B1320" s="246" t="s">
        <v>124</v>
      </c>
      <c r="C1320" s="247"/>
      <c r="D1320" s="247"/>
      <c r="E1320" s="247"/>
      <c r="F1320" s="247"/>
      <c r="G1320" s="248"/>
    </row>
    <row r="1321" spans="2:7" x14ac:dyDescent="0.25">
      <c r="B1321" s="54" t="s">
        <v>123</v>
      </c>
      <c r="C1321" s="118"/>
      <c r="D1321" s="245" t="s">
        <v>128</v>
      </c>
      <c r="E1321" s="245"/>
      <c r="F1321" s="245"/>
      <c r="G1321" s="245"/>
    </row>
    <row r="1324" spans="2:7" x14ac:dyDescent="0.25">
      <c r="B1324" s="115"/>
      <c r="C1324" s="115"/>
      <c r="D1324" s="115"/>
      <c r="E1324" s="115"/>
      <c r="F1324" s="115"/>
      <c r="G1324" s="115"/>
    </row>
    <row r="1325" spans="2:7" x14ac:dyDescent="0.25">
      <c r="B1325" s="115"/>
      <c r="C1325" s="250" t="s">
        <v>22</v>
      </c>
      <c r="D1325" s="250"/>
      <c r="E1325" s="42"/>
      <c r="F1325" s="115"/>
      <c r="G1325" s="115"/>
    </row>
    <row r="1326" spans="2:7" x14ac:dyDescent="0.25">
      <c r="B1326" s="115"/>
      <c r="C1326" s="251"/>
      <c r="D1326" s="251"/>
      <c r="E1326" s="115"/>
      <c r="F1326" s="43"/>
      <c r="G1326" s="115"/>
    </row>
    <row r="1327" spans="2:7" x14ac:dyDescent="0.25">
      <c r="B1327" s="115"/>
      <c r="C1327" s="27" t="s">
        <v>77</v>
      </c>
      <c r="D1327" s="120">
        <v>39</v>
      </c>
      <c r="E1327" s="119" t="s">
        <v>125</v>
      </c>
      <c r="F1327" s="56">
        <v>27</v>
      </c>
      <c r="G1327" s="115"/>
    </row>
    <row r="1328" spans="2:7" x14ac:dyDescent="0.25">
      <c r="B1328" s="115"/>
      <c r="C1328" s="29" t="s">
        <v>76</v>
      </c>
      <c r="D1328" s="117">
        <f>IFERROR(VLOOKUP(D1327,'DATOS REGISTRADOS'!B:Q,16,FALSE)," ")</f>
        <v>11</v>
      </c>
      <c r="E1328" s="30" t="s">
        <v>78</v>
      </c>
      <c r="F1328" s="31">
        <f ca="1">TODAY()</f>
        <v>44377</v>
      </c>
      <c r="G1328" s="115"/>
    </row>
    <row r="1329" spans="2:7" x14ac:dyDescent="0.25">
      <c r="B1329" s="256" t="s">
        <v>79</v>
      </c>
      <c r="C1329" s="256"/>
      <c r="D1329" s="256"/>
      <c r="E1329" s="256"/>
      <c r="F1329" s="256"/>
      <c r="G1329" s="256"/>
    </row>
    <row r="1330" spans="2:7" x14ac:dyDescent="0.25">
      <c r="B1330" s="119" t="s">
        <v>80</v>
      </c>
      <c r="C1330" s="257" t="str">
        <f>IFERROR(VLOOKUP(D1327,'DATOS REGISTRADOS'!B:C,2,FALSE)," ")</f>
        <v>Cruz Monsivais Alcala</v>
      </c>
      <c r="D1330" s="257"/>
      <c r="E1330" s="258"/>
      <c r="F1330" s="258"/>
      <c r="G1330" s="258"/>
    </row>
    <row r="1331" spans="2:7" x14ac:dyDescent="0.25">
      <c r="B1331" s="116" t="s">
        <v>81</v>
      </c>
      <c r="C1331" s="259" t="str">
        <f>IFERROR(VLOOKUP(D1327,'DATOS REGISTRADOS'!B:Q,3,FALSE)," ")</f>
        <v>calle Pedro de Jesus Gonzales orendain # 1015</v>
      </c>
      <c r="D1331" s="260"/>
      <c r="E1331" s="35" t="s">
        <v>82</v>
      </c>
      <c r="F1331" s="258">
        <f>IFERROR(VLOOKUP(D1327,'DATOS REGISTRADOS'!B:Q,7,FALSE)," ")</f>
        <v>8211119896</v>
      </c>
      <c r="G1331" s="258"/>
    </row>
    <row r="1332" spans="2:7" x14ac:dyDescent="0.25">
      <c r="B1332" s="115"/>
      <c r="C1332" s="243" t="str">
        <f>IFERROR(VLOOKUP(D1327,'DATOS REGISTRADOS'!B:Q,4,FALSE)," ")</f>
        <v>infonavit misiones de San Gerardo</v>
      </c>
      <c r="D1332" s="244"/>
      <c r="E1332" s="115"/>
      <c r="F1332" s="115"/>
      <c r="G1332" s="115"/>
    </row>
    <row r="1333" spans="2:7" x14ac:dyDescent="0.25">
      <c r="B1333" s="115"/>
      <c r="C1333" s="66" t="str">
        <f>IFERROR(VLOOKUP(D1327,'DATOS REGISTRADOS'!B:Q,5,FALSE)," ")</f>
        <v>Linares, NL</v>
      </c>
      <c r="D1333" s="67">
        <f>IFERROR(VLOOKUP(D1327,'DATOS REGISTRADOS'!B:Q,6,FALSE)," ")</f>
        <v>67778</v>
      </c>
      <c r="E1333" s="115"/>
      <c r="F1333" s="115"/>
      <c r="G1333" s="115"/>
    </row>
    <row r="1334" spans="2:7" x14ac:dyDescent="0.25">
      <c r="B1334" s="256" t="s">
        <v>83</v>
      </c>
      <c r="C1334" s="262"/>
      <c r="D1334" s="262"/>
      <c r="E1334" s="256"/>
      <c r="F1334" s="256"/>
      <c r="G1334" s="256"/>
    </row>
    <row r="1335" spans="2:7" x14ac:dyDescent="0.25">
      <c r="B1335" s="119" t="s">
        <v>84</v>
      </c>
      <c r="C1335" s="249" t="s">
        <v>85</v>
      </c>
      <c r="D1335" s="249"/>
      <c r="E1335" s="119" t="s">
        <v>86</v>
      </c>
      <c r="F1335" s="119" t="s">
        <v>87</v>
      </c>
      <c r="G1335" s="119" t="s">
        <v>57</v>
      </c>
    </row>
    <row r="1336" spans="2:7" x14ac:dyDescent="0.25">
      <c r="B1336" s="120" t="s">
        <v>126</v>
      </c>
      <c r="C1336" s="241" t="str">
        <f>IFERROR(VLOOKUP(B1336,'Productos '!B:C,2,FALSE)," ")</f>
        <v>Recompra 1 Activador Celular</v>
      </c>
      <c r="D1336" s="242"/>
      <c r="E1336" s="120">
        <v>1</v>
      </c>
      <c r="F1336" s="40">
        <f>IFERROR(VLOOKUP(B1336,'Productos '!B:G,3,FALSE)," ")</f>
        <v>431.0344827586207</v>
      </c>
      <c r="G1336" s="40">
        <f>IFERROR((F1336*E1336)," ")</f>
        <v>431.0344827586207</v>
      </c>
    </row>
    <row r="1337" spans="2:7" x14ac:dyDescent="0.25">
      <c r="B1337" s="120" t="s">
        <v>323</v>
      </c>
      <c r="C1337" s="241" t="str">
        <f>IFERROR(VLOOKUP(B1337,'Productos '!B:C,2,FALSE)," ")</f>
        <v>Promoción ActiCell</v>
      </c>
      <c r="D1337" s="242"/>
      <c r="E1337" s="120">
        <v>2</v>
      </c>
      <c r="F1337" s="40">
        <f>IFERROR(VLOOKUP(B1337,'Productos '!B:G,3,FALSE)," ")</f>
        <v>301.72413793103448</v>
      </c>
      <c r="G1337" s="40">
        <f t="shared" ref="G1337:G1342" si="49">IFERROR((F1337*E1337)," ")</f>
        <v>603.44827586206895</v>
      </c>
    </row>
    <row r="1338" spans="2:7" x14ac:dyDescent="0.25">
      <c r="B1338" s="120" t="s">
        <v>325</v>
      </c>
      <c r="C1338" s="241" t="str">
        <f>IFERROR(VLOOKUP(B1338,'Productos '!B:C,2,FALSE)," ")</f>
        <v>Promoción 2cremas</v>
      </c>
      <c r="D1338" s="242"/>
      <c r="E1338" s="120">
        <v>1</v>
      </c>
      <c r="F1338" s="40">
        <f>IFERROR(VLOOKUP(B1338,'Productos '!B:G,3,FALSE)," ")</f>
        <v>258.62068965517244</v>
      </c>
      <c r="G1338" s="40">
        <f t="shared" si="49"/>
        <v>258.62068965517244</v>
      </c>
    </row>
    <row r="1339" spans="2:7" x14ac:dyDescent="0.25">
      <c r="B1339" s="120"/>
      <c r="C1339" s="241" t="str">
        <f>IFERROR(VLOOKUP(B1339,'Productos '!B:C,2,FALSE)," ")</f>
        <v xml:space="preserve"> </v>
      </c>
      <c r="D1339" s="242"/>
      <c r="E1339" s="120"/>
      <c r="F1339" s="40" t="str">
        <f>IFERROR(VLOOKUP(B1339,'Productos '!B:G,3,FALSE)," ")</f>
        <v xml:space="preserve"> </v>
      </c>
      <c r="G1339" s="40" t="str">
        <f t="shared" si="49"/>
        <v xml:space="preserve"> </v>
      </c>
    </row>
    <row r="1340" spans="2:7" x14ac:dyDescent="0.25">
      <c r="B1340" s="120"/>
      <c r="C1340" s="241" t="str">
        <f>IFERROR(VLOOKUP(B1340,'Productos '!B:C,2,FALSE)," ")</f>
        <v xml:space="preserve"> </v>
      </c>
      <c r="D1340" s="242"/>
      <c r="E1340" s="120"/>
      <c r="F1340" s="40" t="str">
        <f>IFERROR(VLOOKUP(B1340,'Productos '!B:G,3,FALSE)," ")</f>
        <v xml:space="preserve"> </v>
      </c>
      <c r="G1340" s="40" t="str">
        <f t="shared" si="49"/>
        <v xml:space="preserve"> </v>
      </c>
    </row>
    <row r="1341" spans="2:7" x14ac:dyDescent="0.25">
      <c r="B1341" s="120"/>
      <c r="C1341" s="241" t="str">
        <f>IFERROR(VLOOKUP(B1341,'Productos '!B:C,2,FALSE)," ")</f>
        <v xml:space="preserve"> </v>
      </c>
      <c r="D1341" s="242"/>
      <c r="E1341" s="120"/>
      <c r="F1341" s="40" t="str">
        <f>IFERROR(VLOOKUP(B1341,'Productos '!B:G,3,FALSE)," ")</f>
        <v xml:space="preserve"> </v>
      </c>
      <c r="G1341" s="40" t="str">
        <f t="shared" si="49"/>
        <v xml:space="preserve"> </v>
      </c>
    </row>
    <row r="1342" spans="2:7" x14ac:dyDescent="0.25">
      <c r="B1342" s="120"/>
      <c r="C1342" s="241" t="str">
        <f>IFERROR(VLOOKUP(B1342,'Productos '!B:C,2,FALSE)," ")</f>
        <v xml:space="preserve"> </v>
      </c>
      <c r="D1342" s="242"/>
      <c r="E1342" s="120"/>
      <c r="F1342" s="40" t="str">
        <f>IFERROR(VLOOKUP(B1342,'Productos '!B:G,3,FALSE)," ")</f>
        <v xml:space="preserve"> </v>
      </c>
      <c r="G1342" s="40" t="str">
        <f t="shared" si="49"/>
        <v xml:space="preserve"> </v>
      </c>
    </row>
    <row r="1343" spans="2:7" x14ac:dyDescent="0.25">
      <c r="B1343" s="115"/>
      <c r="C1343" s="253" t="s">
        <v>88</v>
      </c>
      <c r="D1343" s="254"/>
      <c r="E1343" s="38">
        <f>SUM(E1336:E1342)</f>
        <v>4</v>
      </c>
      <c r="F1343" s="119" t="s">
        <v>89</v>
      </c>
      <c r="G1343" s="40">
        <f>SUM(G1336:G1342)</f>
        <v>1293.1034482758623</v>
      </c>
    </row>
    <row r="1344" spans="2:7" x14ac:dyDescent="0.25">
      <c r="B1344" s="115"/>
      <c r="C1344" s="115"/>
      <c r="D1344" s="115"/>
      <c r="E1344" s="115"/>
      <c r="F1344" s="119" t="s">
        <v>90</v>
      </c>
      <c r="G1344" s="40">
        <f>G1343*16%</f>
        <v>206.89655172413796</v>
      </c>
    </row>
    <row r="1345" spans="2:7" x14ac:dyDescent="0.25">
      <c r="B1345" s="119" t="s">
        <v>91</v>
      </c>
      <c r="C1345" s="241" t="str">
        <f>IFERROR(VLOOKUP(D1327,'DATOS REGISTRADOS'!B:R,17,FALSE)," ")</f>
        <v>Silvano Cavazos Salazar</v>
      </c>
      <c r="D1345" s="252"/>
      <c r="E1345" s="242"/>
      <c r="F1345" s="119" t="s">
        <v>57</v>
      </c>
      <c r="G1345" s="68">
        <f>SUM(G1343:G1344)</f>
        <v>1500.0000000000002</v>
      </c>
    </row>
    <row r="1346" spans="2:7" x14ac:dyDescent="0.25">
      <c r="B1346" s="245" t="s">
        <v>343</v>
      </c>
      <c r="C1346" s="245"/>
      <c r="D1346" s="245"/>
      <c r="E1346" s="245"/>
      <c r="F1346" s="245"/>
      <c r="G1346" s="245"/>
    </row>
    <row r="1347" spans="2:7" x14ac:dyDescent="0.25">
      <c r="B1347" s="246" t="s">
        <v>124</v>
      </c>
      <c r="C1347" s="247"/>
      <c r="D1347" s="247"/>
      <c r="E1347" s="247"/>
      <c r="F1347" s="247"/>
      <c r="G1347" s="248"/>
    </row>
    <row r="1348" spans="2:7" x14ac:dyDescent="0.25">
      <c r="B1348" s="54" t="s">
        <v>123</v>
      </c>
      <c r="C1348" s="118"/>
      <c r="D1348" s="245" t="s">
        <v>128</v>
      </c>
      <c r="E1348" s="245"/>
      <c r="F1348" s="245"/>
      <c r="G1348" s="245"/>
    </row>
    <row r="1351" spans="2:7" x14ac:dyDescent="0.25">
      <c r="B1351" s="115"/>
      <c r="C1351" s="115"/>
      <c r="D1351" s="115"/>
      <c r="E1351" s="115"/>
      <c r="F1351" s="115"/>
      <c r="G1351" s="115"/>
    </row>
    <row r="1352" spans="2:7" x14ac:dyDescent="0.25">
      <c r="B1352" s="115"/>
      <c r="C1352" s="250" t="s">
        <v>22</v>
      </c>
      <c r="D1352" s="250"/>
      <c r="E1352" s="42"/>
      <c r="F1352" s="115"/>
      <c r="G1352" s="115"/>
    </row>
    <row r="1353" spans="2:7" x14ac:dyDescent="0.25">
      <c r="B1353" s="115"/>
      <c r="C1353" s="251"/>
      <c r="D1353" s="251"/>
      <c r="E1353" s="115"/>
      <c r="F1353" s="43"/>
      <c r="G1353" s="115"/>
    </row>
    <row r="1354" spans="2:7" x14ac:dyDescent="0.25">
      <c r="B1354" s="115"/>
      <c r="C1354" s="27" t="s">
        <v>77</v>
      </c>
      <c r="D1354" s="120">
        <v>15</v>
      </c>
      <c r="E1354" s="119" t="s">
        <v>125</v>
      </c>
      <c r="F1354" s="56">
        <v>26</v>
      </c>
      <c r="G1354" s="115"/>
    </row>
    <row r="1355" spans="2:7" x14ac:dyDescent="0.25">
      <c r="B1355" s="115"/>
      <c r="C1355" s="29" t="s">
        <v>76</v>
      </c>
      <c r="D1355" s="117">
        <f>IFERROR(VLOOKUP(D1354,'DATOS REGISTRADOS'!B:Q,16,FALSE)," ")</f>
        <v>11</v>
      </c>
      <c r="E1355" s="30" t="s">
        <v>78</v>
      </c>
      <c r="F1355" s="31">
        <f ca="1">TODAY()</f>
        <v>44377</v>
      </c>
      <c r="G1355" s="115"/>
    </row>
    <row r="1356" spans="2:7" x14ac:dyDescent="0.25">
      <c r="B1356" s="256" t="s">
        <v>79</v>
      </c>
      <c r="C1356" s="256"/>
      <c r="D1356" s="256"/>
      <c r="E1356" s="256"/>
      <c r="F1356" s="256"/>
      <c r="G1356" s="256"/>
    </row>
    <row r="1357" spans="2:7" x14ac:dyDescent="0.25">
      <c r="B1357" s="119" t="s">
        <v>80</v>
      </c>
      <c r="C1357" s="257" t="str">
        <f>IFERROR(VLOOKUP(D1354,'DATOS REGISTRADOS'!B:C,2,FALSE)," ")</f>
        <v>Celia Salazar Soto</v>
      </c>
      <c r="D1357" s="257"/>
      <c r="E1357" s="258"/>
      <c r="F1357" s="258"/>
      <c r="G1357" s="258"/>
    </row>
    <row r="1358" spans="2:7" x14ac:dyDescent="0.25">
      <c r="B1358" s="116" t="s">
        <v>81</v>
      </c>
      <c r="C1358" s="259" t="str">
        <f>IFERROR(VLOOKUP(D1354,'DATOS REGISTRADOS'!B:Q,3,FALSE)," ")</f>
        <v>Martha332</v>
      </c>
      <c r="D1358" s="260"/>
      <c r="E1358" s="35" t="s">
        <v>82</v>
      </c>
      <c r="F1358" s="258" t="str">
        <f>IFERROR(VLOOKUP(D1354,'DATOS REGISTRADOS'!B:Q,7,FALSE)," ")</f>
        <v>81)88809050</v>
      </c>
      <c r="G1358" s="258"/>
    </row>
    <row r="1359" spans="2:7" x14ac:dyDescent="0.25">
      <c r="B1359" s="115"/>
      <c r="C1359" s="243" t="str">
        <f>IFERROR(VLOOKUP(D1354,'DATOS REGISTRADOS'!B:Q,4,FALSE)," ")</f>
        <v>Colonia los candiles, Apodaca</v>
      </c>
      <c r="D1359" s="244"/>
      <c r="E1359" s="115"/>
      <c r="F1359" s="115"/>
      <c r="G1359" s="115"/>
    </row>
    <row r="1360" spans="2:7" x14ac:dyDescent="0.25">
      <c r="B1360" s="115"/>
      <c r="C1360" s="66" t="str">
        <f>IFERROR(VLOOKUP(D1354,'DATOS REGISTRADOS'!B:Q,5,FALSE)," ")</f>
        <v>Nuevo León</v>
      </c>
      <c r="D1360" s="67">
        <f>IFERROR(VLOOKUP(D1354,'DATOS REGISTRADOS'!B:Q,6,FALSE)," ")</f>
        <v>0</v>
      </c>
      <c r="E1360" s="115"/>
      <c r="F1360" s="115"/>
      <c r="G1360" s="115"/>
    </row>
    <row r="1361" spans="2:7" x14ac:dyDescent="0.25">
      <c r="B1361" s="256" t="s">
        <v>83</v>
      </c>
      <c r="C1361" s="262"/>
      <c r="D1361" s="262"/>
      <c r="E1361" s="256"/>
      <c r="F1361" s="256"/>
      <c r="G1361" s="256"/>
    </row>
    <row r="1362" spans="2:7" x14ac:dyDescent="0.25">
      <c r="B1362" s="119" t="s">
        <v>84</v>
      </c>
      <c r="C1362" s="249" t="s">
        <v>85</v>
      </c>
      <c r="D1362" s="249"/>
      <c r="E1362" s="119" t="s">
        <v>86</v>
      </c>
      <c r="F1362" s="119" t="s">
        <v>87</v>
      </c>
      <c r="G1362" s="119" t="s">
        <v>57</v>
      </c>
    </row>
    <row r="1363" spans="2:7" x14ac:dyDescent="0.25">
      <c r="B1363" s="120" t="s">
        <v>341</v>
      </c>
      <c r="C1363" s="241" t="str">
        <f>IFERROR(VLOOKUP(B1363,'Productos '!B:C,2,FALSE)," ")</f>
        <v>Exclusivo Material de Apoyo</v>
      </c>
      <c r="D1363" s="242"/>
      <c r="E1363" s="120">
        <v>24</v>
      </c>
      <c r="F1363" s="40">
        <f>IFERROR(VLOOKUP(B1363,'Productos '!B:G,3,FALSE)," ")</f>
        <v>215.51724137931035</v>
      </c>
      <c r="G1363" s="40">
        <f>IFERROR((F1363*E1363)," ")</f>
        <v>5172.4137931034484</v>
      </c>
    </row>
    <row r="1364" spans="2:7" x14ac:dyDescent="0.25">
      <c r="B1364" s="120" t="s">
        <v>341</v>
      </c>
      <c r="C1364" s="241" t="str">
        <f>IFERROR(VLOOKUP(B1364,'Productos '!B:C,2,FALSE)," ")</f>
        <v>Exclusivo Material de Apoyo</v>
      </c>
      <c r="D1364" s="242"/>
      <c r="E1364" s="120">
        <v>26</v>
      </c>
      <c r="F1364" s="40">
        <f>IFERROR(VLOOKUP(B1364,'Productos '!B:G,3,FALSE)," ")</f>
        <v>215.51724137931035</v>
      </c>
      <c r="G1364" s="40">
        <f t="shared" ref="G1364:G1369" si="50">IFERROR((F1364*E1364)," ")</f>
        <v>5603.4482758620688</v>
      </c>
    </row>
    <row r="1365" spans="2:7" x14ac:dyDescent="0.25">
      <c r="B1365" s="120"/>
      <c r="C1365" s="241" t="str">
        <f>IFERROR(VLOOKUP(B1365,'Productos '!B:C,2,FALSE)," ")</f>
        <v xml:space="preserve"> </v>
      </c>
      <c r="D1365" s="242"/>
      <c r="E1365" s="120"/>
      <c r="F1365" s="40" t="str">
        <f>IFERROR(VLOOKUP(B1365,'Productos '!B:G,3,FALSE)," ")</f>
        <v xml:space="preserve"> </v>
      </c>
      <c r="G1365" s="40" t="str">
        <f t="shared" si="50"/>
        <v xml:space="preserve"> </v>
      </c>
    </row>
    <row r="1366" spans="2:7" x14ac:dyDescent="0.25">
      <c r="B1366" s="120"/>
      <c r="C1366" s="241" t="str">
        <f>IFERROR(VLOOKUP(B1366,'Productos '!B:C,2,FALSE)," ")</f>
        <v xml:space="preserve"> </v>
      </c>
      <c r="D1366" s="242"/>
      <c r="E1366" s="120"/>
      <c r="F1366" s="40" t="str">
        <f>IFERROR(VLOOKUP(B1366,'Productos '!B:G,3,FALSE)," ")</f>
        <v xml:space="preserve"> </v>
      </c>
      <c r="G1366" s="40" t="str">
        <f t="shared" si="50"/>
        <v xml:space="preserve"> </v>
      </c>
    </row>
    <row r="1367" spans="2:7" x14ac:dyDescent="0.25">
      <c r="B1367" s="120"/>
      <c r="C1367" s="241" t="str">
        <f>IFERROR(VLOOKUP(B1367,'Productos '!B:C,2,FALSE)," ")</f>
        <v xml:space="preserve"> </v>
      </c>
      <c r="D1367" s="242"/>
      <c r="E1367" s="120"/>
      <c r="F1367" s="40" t="str">
        <f>IFERROR(VLOOKUP(B1367,'Productos '!B:G,3,FALSE)," ")</f>
        <v xml:space="preserve"> </v>
      </c>
      <c r="G1367" s="40" t="str">
        <f t="shared" si="50"/>
        <v xml:space="preserve"> </v>
      </c>
    </row>
    <row r="1368" spans="2:7" x14ac:dyDescent="0.25">
      <c r="B1368" s="120"/>
      <c r="C1368" s="241" t="str">
        <f>IFERROR(VLOOKUP(B1368,'Productos '!B:C,2,FALSE)," ")</f>
        <v xml:space="preserve"> </v>
      </c>
      <c r="D1368" s="242"/>
      <c r="E1368" s="120"/>
      <c r="F1368" s="40" t="str">
        <f>IFERROR(VLOOKUP(B1368,'Productos '!B:G,3,FALSE)," ")</f>
        <v xml:space="preserve"> </v>
      </c>
      <c r="G1368" s="40" t="str">
        <f t="shared" si="50"/>
        <v xml:space="preserve"> </v>
      </c>
    </row>
    <row r="1369" spans="2:7" x14ac:dyDescent="0.25">
      <c r="B1369" s="120"/>
      <c r="C1369" s="241" t="str">
        <f>IFERROR(VLOOKUP(B1369,'Productos '!B:C,2,FALSE)," ")</f>
        <v xml:space="preserve"> </v>
      </c>
      <c r="D1369" s="242"/>
      <c r="E1369" s="120"/>
      <c r="F1369" s="40" t="str">
        <f>IFERROR(VLOOKUP(B1369,'Productos '!B:G,3,FALSE)," ")</f>
        <v xml:space="preserve"> </v>
      </c>
      <c r="G1369" s="40" t="str">
        <f t="shared" si="50"/>
        <v xml:space="preserve"> </v>
      </c>
    </row>
    <row r="1370" spans="2:7" x14ac:dyDescent="0.25">
      <c r="B1370" s="115"/>
      <c r="C1370" s="253" t="s">
        <v>88</v>
      </c>
      <c r="D1370" s="254"/>
      <c r="E1370" s="38">
        <f>SUM(E1363:E1369)</f>
        <v>50</v>
      </c>
      <c r="F1370" s="119" t="s">
        <v>89</v>
      </c>
      <c r="G1370" s="40">
        <f>SUM(G1363:G1369)</f>
        <v>10775.862068965518</v>
      </c>
    </row>
    <row r="1371" spans="2:7" x14ac:dyDescent="0.25">
      <c r="B1371" s="115"/>
      <c r="C1371" s="115"/>
      <c r="D1371" s="115"/>
      <c r="E1371" s="115"/>
      <c r="F1371" s="119" t="s">
        <v>90</v>
      </c>
      <c r="G1371" s="40">
        <f>G1370*16%</f>
        <v>1724.137931034483</v>
      </c>
    </row>
    <row r="1372" spans="2:7" x14ac:dyDescent="0.25">
      <c r="B1372" s="119" t="s">
        <v>91</v>
      </c>
      <c r="C1372" s="241" t="str">
        <f>IFERROR(VLOOKUP(D1354,'DATOS REGISTRADOS'!B:R,17,FALSE)," ")</f>
        <v>Silvano Cavazos Salazar</v>
      </c>
      <c r="D1372" s="252"/>
      <c r="E1372" s="242"/>
      <c r="F1372" s="119" t="s">
        <v>57</v>
      </c>
      <c r="G1372" s="68">
        <f>SUM(G1370:G1371)</f>
        <v>12500.000000000002</v>
      </c>
    </row>
    <row r="1373" spans="2:7" x14ac:dyDescent="0.25">
      <c r="B1373" s="245" t="s">
        <v>343</v>
      </c>
      <c r="C1373" s="245"/>
      <c r="D1373" s="245"/>
      <c r="E1373" s="245"/>
      <c r="F1373" s="245"/>
      <c r="G1373" s="245"/>
    </row>
    <row r="1374" spans="2:7" x14ac:dyDescent="0.25">
      <c r="B1374" s="246" t="s">
        <v>124</v>
      </c>
      <c r="C1374" s="247"/>
      <c r="D1374" s="247"/>
      <c r="E1374" s="247"/>
      <c r="F1374" s="247"/>
      <c r="G1374" s="248"/>
    </row>
    <row r="1375" spans="2:7" x14ac:dyDescent="0.25">
      <c r="B1375" s="54" t="s">
        <v>123</v>
      </c>
      <c r="C1375" s="118"/>
      <c r="D1375" s="245" t="s">
        <v>128</v>
      </c>
      <c r="E1375" s="245"/>
      <c r="F1375" s="245"/>
      <c r="G1375" s="245"/>
    </row>
    <row r="1378" spans="2:7" x14ac:dyDescent="0.25">
      <c r="B1378" s="113"/>
      <c r="C1378" s="113"/>
      <c r="D1378" s="113"/>
      <c r="E1378" s="113"/>
      <c r="F1378" s="113"/>
      <c r="G1378" s="113"/>
    </row>
    <row r="1379" spans="2:7" x14ac:dyDescent="0.25">
      <c r="B1379" s="113"/>
      <c r="C1379" s="250" t="s">
        <v>22</v>
      </c>
      <c r="D1379" s="250"/>
      <c r="E1379" s="42"/>
      <c r="F1379" s="113"/>
      <c r="G1379" s="113"/>
    </row>
    <row r="1380" spans="2:7" x14ac:dyDescent="0.25">
      <c r="B1380" s="113"/>
      <c r="C1380" s="251"/>
      <c r="D1380" s="251"/>
      <c r="E1380" s="113"/>
      <c r="F1380" s="43"/>
      <c r="G1380" s="113"/>
    </row>
    <row r="1381" spans="2:7" x14ac:dyDescent="0.25">
      <c r="B1381" s="113"/>
      <c r="C1381" s="27" t="s">
        <v>77</v>
      </c>
      <c r="D1381" s="120">
        <v>32</v>
      </c>
      <c r="E1381" s="112" t="s">
        <v>125</v>
      </c>
      <c r="F1381" s="56">
        <v>25</v>
      </c>
      <c r="G1381" s="113"/>
    </row>
    <row r="1382" spans="2:7" x14ac:dyDescent="0.25">
      <c r="B1382" s="113"/>
      <c r="C1382" s="29" t="s">
        <v>76</v>
      </c>
      <c r="D1382" s="110">
        <f>IFERROR(VLOOKUP(D1381,'DATOS REGISTRADOS'!B:Q,16,FALSE)," ")</f>
        <v>23</v>
      </c>
      <c r="E1382" s="30" t="s">
        <v>78</v>
      </c>
      <c r="F1382" s="31">
        <f ca="1">TODAY()</f>
        <v>44377</v>
      </c>
      <c r="G1382" s="113"/>
    </row>
    <row r="1383" spans="2:7" x14ac:dyDescent="0.25">
      <c r="B1383" s="256" t="s">
        <v>79</v>
      </c>
      <c r="C1383" s="256"/>
      <c r="D1383" s="256"/>
      <c r="E1383" s="256"/>
      <c r="F1383" s="256"/>
      <c r="G1383" s="256"/>
    </row>
    <row r="1384" spans="2:7" x14ac:dyDescent="0.25">
      <c r="B1384" s="112" t="s">
        <v>80</v>
      </c>
      <c r="C1384" s="257" t="str">
        <f>IFERROR(VLOOKUP(D1381,'DATOS REGISTRADOS'!B:C,2,FALSE)," ")</f>
        <v>Teresa Rivera Cortez</v>
      </c>
      <c r="D1384" s="257"/>
      <c r="E1384" s="258"/>
      <c r="F1384" s="258"/>
      <c r="G1384" s="258"/>
    </row>
    <row r="1385" spans="2:7" x14ac:dyDescent="0.25">
      <c r="B1385" s="114" t="s">
        <v>81</v>
      </c>
      <c r="C1385" s="259" t="str">
        <f>IFERROR(VLOOKUP(D1381,'DATOS REGISTRADOS'!B:Q,3,FALSE)," ")</f>
        <v>rey Fernando de aragon # 739 entre Cristobal Colon y puerto de palos</v>
      </c>
      <c r="D1385" s="260"/>
      <c r="E1385" s="35" t="s">
        <v>82</v>
      </c>
      <c r="F1385" s="258">
        <f>IFERROR(VLOOKUP(D1381,'DATOS REGISTRADOS'!B:Q,7,FALSE)," ")</f>
        <v>8115698175</v>
      </c>
      <c r="G1385" s="258"/>
    </row>
    <row r="1386" spans="2:7" x14ac:dyDescent="0.25">
      <c r="B1386" s="113"/>
      <c r="C1386" s="243" t="str">
        <f>IFERROR(VLOOKUP(D1381,'DATOS REGISTRADOS'!B:Q,4,FALSE)," ")</f>
        <v>colonia quinto centenario general Escobedo</v>
      </c>
      <c r="D1386" s="244"/>
      <c r="E1386" s="113"/>
      <c r="F1386" s="113"/>
      <c r="G1386" s="113"/>
    </row>
    <row r="1387" spans="2:7" x14ac:dyDescent="0.25">
      <c r="B1387" s="113"/>
      <c r="C1387" s="66" t="str">
        <f>IFERROR(VLOOKUP(D1381,'DATOS REGISTRADOS'!B:Q,5,FALSE)," ")</f>
        <v>Nuevo Leon</v>
      </c>
      <c r="D1387" s="67">
        <f>IFERROR(VLOOKUP(D1381,'DATOS REGISTRADOS'!B:Q,6,FALSE)," ")</f>
        <v>66072</v>
      </c>
      <c r="E1387" s="113"/>
      <c r="F1387" s="113"/>
      <c r="G1387" s="113"/>
    </row>
    <row r="1388" spans="2:7" x14ac:dyDescent="0.25">
      <c r="B1388" s="256" t="s">
        <v>83</v>
      </c>
      <c r="C1388" s="262"/>
      <c r="D1388" s="262"/>
      <c r="E1388" s="256"/>
      <c r="F1388" s="256"/>
      <c r="G1388" s="256"/>
    </row>
    <row r="1389" spans="2:7" x14ac:dyDescent="0.25">
      <c r="B1389" s="112" t="s">
        <v>84</v>
      </c>
      <c r="C1389" s="249" t="s">
        <v>85</v>
      </c>
      <c r="D1389" s="249"/>
      <c r="E1389" s="112" t="s">
        <v>86</v>
      </c>
      <c r="F1389" s="112" t="s">
        <v>87</v>
      </c>
      <c r="G1389" s="112" t="s">
        <v>57</v>
      </c>
    </row>
    <row r="1390" spans="2:7" x14ac:dyDescent="0.25">
      <c r="B1390" s="120" t="s">
        <v>328</v>
      </c>
      <c r="C1390" s="241" t="str">
        <f>IFERROR(VLOOKUP(B1390,'Productos '!B:C,2,FALSE)," ")</f>
        <v>Promoción 5cremas</v>
      </c>
      <c r="D1390" s="242"/>
      <c r="E1390" s="120">
        <v>1</v>
      </c>
      <c r="F1390" s="40">
        <f>IFERROR(VLOOKUP(B1390,'Productos '!B:G,3,FALSE)," ")</f>
        <v>517.24137931034488</v>
      </c>
      <c r="G1390" s="40">
        <f>IFERROR((F1390*E1390)," ")</f>
        <v>517.24137931034488</v>
      </c>
    </row>
    <row r="1391" spans="2:7" x14ac:dyDescent="0.25">
      <c r="B1391" s="120" t="s">
        <v>334</v>
      </c>
      <c r="C1391" s="241" t="str">
        <f>IFERROR(VLOOKUP(B1391,'Productos '!B:C,2,FALSE)," ")</f>
        <v>Promoción 3Minoxidil</v>
      </c>
      <c r="D1391" s="242"/>
      <c r="E1391" s="120">
        <v>1</v>
      </c>
      <c r="F1391" s="40">
        <f>IFERROR(VLOOKUP(B1391,'Productos '!B:G,3,FALSE)," ")</f>
        <v>258.62068965517244</v>
      </c>
      <c r="G1391" s="40">
        <f t="shared" ref="G1391:G1396" si="51">IFERROR((F1391*E1391)," ")</f>
        <v>258.62068965517244</v>
      </c>
    </row>
    <row r="1392" spans="2:7" x14ac:dyDescent="0.25">
      <c r="B1392" s="120" t="s">
        <v>118</v>
      </c>
      <c r="C1392" s="241" t="str">
        <f>IFERROR(VLOOKUP(B1392,'Productos '!B:C,2,FALSE)," ")</f>
        <v>Recompra 1 Activador Celular</v>
      </c>
      <c r="D1392" s="242"/>
      <c r="E1392" s="120">
        <v>1</v>
      </c>
      <c r="F1392" s="40">
        <f>IFERROR(VLOOKUP(B1392,'Productos '!B:G,3,FALSE)," ")</f>
        <v>431.0344827586207</v>
      </c>
      <c r="G1392" s="40">
        <f t="shared" si="51"/>
        <v>431.0344827586207</v>
      </c>
    </row>
    <row r="1393" spans="2:7" x14ac:dyDescent="0.25">
      <c r="B1393" s="120" t="s">
        <v>323</v>
      </c>
      <c r="C1393" s="241" t="str">
        <f>IFERROR(VLOOKUP(B1393,'Productos '!B:C,2,FALSE)," ")</f>
        <v>Promoción ActiCell</v>
      </c>
      <c r="D1393" s="242"/>
      <c r="E1393" s="120">
        <v>3</v>
      </c>
      <c r="F1393" s="40">
        <f>IFERROR(VLOOKUP(B1393,'Productos '!B:G,3,FALSE)," ")</f>
        <v>301.72413793103448</v>
      </c>
      <c r="G1393" s="40">
        <f t="shared" si="51"/>
        <v>905.17241379310349</v>
      </c>
    </row>
    <row r="1394" spans="2:7" x14ac:dyDescent="0.25">
      <c r="B1394" s="120" t="s">
        <v>321</v>
      </c>
      <c r="C1394" s="241" t="str">
        <f>IFERROR(VLOOKUP(B1394,'Productos '!B:C,2,FALSE)," ")</f>
        <v>Envio</v>
      </c>
      <c r="D1394" s="242"/>
      <c r="E1394" s="120">
        <v>2</v>
      </c>
      <c r="F1394" s="40">
        <f>IFERROR(VLOOKUP(B1394,'Productos '!B:G,3,FALSE)," ")</f>
        <v>103.44827586206897</v>
      </c>
      <c r="G1394" s="40">
        <f t="shared" si="51"/>
        <v>206.89655172413794</v>
      </c>
    </row>
    <row r="1395" spans="2:7" x14ac:dyDescent="0.25">
      <c r="B1395" s="120"/>
      <c r="C1395" s="241" t="str">
        <f>IFERROR(VLOOKUP(B1395,'Productos '!B:C,2,FALSE)," ")</f>
        <v xml:space="preserve"> </v>
      </c>
      <c r="D1395" s="242"/>
      <c r="E1395" s="120"/>
      <c r="F1395" s="40" t="str">
        <f>IFERROR(VLOOKUP(B1395,'Productos '!B:G,3,FALSE)," ")</f>
        <v xml:space="preserve"> </v>
      </c>
      <c r="G1395" s="40" t="str">
        <f t="shared" si="51"/>
        <v xml:space="preserve"> </v>
      </c>
    </row>
    <row r="1396" spans="2:7" x14ac:dyDescent="0.25">
      <c r="B1396" s="120"/>
      <c r="C1396" s="241" t="str">
        <f>IFERROR(VLOOKUP(B1396,'Productos '!B:C,2,FALSE)," ")</f>
        <v xml:space="preserve"> </v>
      </c>
      <c r="D1396" s="242"/>
      <c r="E1396" s="120"/>
      <c r="F1396" s="40" t="str">
        <f>IFERROR(VLOOKUP(B1396,'Productos '!B:G,3,FALSE)," ")</f>
        <v xml:space="preserve"> </v>
      </c>
      <c r="G1396" s="40" t="str">
        <f t="shared" si="51"/>
        <v xml:space="preserve"> </v>
      </c>
    </row>
    <row r="1397" spans="2:7" x14ac:dyDescent="0.25">
      <c r="B1397" s="113"/>
      <c r="C1397" s="253" t="s">
        <v>88</v>
      </c>
      <c r="D1397" s="254"/>
      <c r="E1397" s="38">
        <f>SUM(E1390:E1396)</f>
        <v>8</v>
      </c>
      <c r="F1397" s="112" t="s">
        <v>89</v>
      </c>
      <c r="G1397" s="40">
        <f>SUM(G1390:G1396)</f>
        <v>2318.96551724138</v>
      </c>
    </row>
    <row r="1398" spans="2:7" x14ac:dyDescent="0.25">
      <c r="B1398" s="113"/>
      <c r="C1398" s="113"/>
      <c r="D1398" s="113"/>
      <c r="E1398" s="113"/>
      <c r="F1398" s="112" t="s">
        <v>90</v>
      </c>
      <c r="G1398" s="40">
        <f>G1397*16%</f>
        <v>371.03448275862081</v>
      </c>
    </row>
    <row r="1399" spans="2:7" x14ac:dyDescent="0.25">
      <c r="B1399" s="112" t="s">
        <v>91</v>
      </c>
      <c r="C1399" s="241" t="str">
        <f>IFERROR(VLOOKUP(D1381,'DATOS REGISTRADOS'!B:R,17,FALSE)," ")</f>
        <v>Bertha Vázquez</v>
      </c>
      <c r="D1399" s="252"/>
      <c r="E1399" s="242"/>
      <c r="F1399" s="112" t="s">
        <v>57</v>
      </c>
      <c r="G1399" s="68">
        <f>SUM(G1397:G1398)</f>
        <v>2690.0000000000009</v>
      </c>
    </row>
    <row r="1400" spans="2:7" x14ac:dyDescent="0.25">
      <c r="B1400" s="245" t="s">
        <v>343</v>
      </c>
      <c r="C1400" s="245"/>
      <c r="D1400" s="245"/>
      <c r="E1400" s="245"/>
      <c r="F1400" s="245"/>
      <c r="G1400" s="245"/>
    </row>
    <row r="1401" spans="2:7" x14ac:dyDescent="0.25">
      <c r="B1401" s="246" t="s">
        <v>124</v>
      </c>
      <c r="C1401" s="247"/>
      <c r="D1401" s="247"/>
      <c r="E1401" s="247"/>
      <c r="F1401" s="247"/>
      <c r="G1401" s="248"/>
    </row>
    <row r="1402" spans="2:7" x14ac:dyDescent="0.25">
      <c r="B1402" s="54" t="s">
        <v>123</v>
      </c>
      <c r="C1402" s="111"/>
      <c r="D1402" s="245" t="s">
        <v>128</v>
      </c>
      <c r="E1402" s="245"/>
      <c r="F1402" s="245"/>
      <c r="G1402" s="245"/>
    </row>
    <row r="1405" spans="2:7" x14ac:dyDescent="0.25">
      <c r="B1405" s="107"/>
      <c r="C1405" s="107"/>
      <c r="D1405" s="107"/>
      <c r="E1405" s="107"/>
      <c r="F1405" s="107"/>
      <c r="G1405" s="107"/>
    </row>
    <row r="1406" spans="2:7" x14ac:dyDescent="0.25">
      <c r="B1406" s="107"/>
      <c r="C1406" s="250" t="s">
        <v>22</v>
      </c>
      <c r="D1406" s="250"/>
      <c r="E1406" s="42"/>
      <c r="F1406" s="107"/>
      <c r="G1406" s="107"/>
    </row>
    <row r="1407" spans="2:7" x14ac:dyDescent="0.25">
      <c r="B1407" s="107"/>
      <c r="C1407" s="251"/>
      <c r="D1407" s="251"/>
      <c r="E1407" s="107"/>
      <c r="F1407" s="43"/>
      <c r="G1407" s="107"/>
    </row>
    <row r="1408" spans="2:7" x14ac:dyDescent="0.25">
      <c r="B1408" s="107"/>
      <c r="C1408" s="27" t="s">
        <v>77</v>
      </c>
      <c r="D1408" s="120">
        <v>32</v>
      </c>
      <c r="E1408" s="106" t="s">
        <v>125</v>
      </c>
      <c r="F1408" s="56">
        <v>24</v>
      </c>
      <c r="G1408" s="107"/>
    </row>
    <row r="1409" spans="2:7" x14ac:dyDescent="0.25">
      <c r="B1409" s="107"/>
      <c r="C1409" s="29" t="s">
        <v>76</v>
      </c>
      <c r="D1409" s="109">
        <f>IFERROR(VLOOKUP(D1408,'DATOS REGISTRADOS'!B:Q,16,FALSE)," ")</f>
        <v>23</v>
      </c>
      <c r="E1409" s="30" t="s">
        <v>78</v>
      </c>
      <c r="F1409" s="31">
        <f ca="1">TODAY()</f>
        <v>44377</v>
      </c>
      <c r="G1409" s="107"/>
    </row>
    <row r="1410" spans="2:7" x14ac:dyDescent="0.25">
      <c r="B1410" s="256" t="s">
        <v>79</v>
      </c>
      <c r="C1410" s="256"/>
      <c r="D1410" s="256"/>
      <c r="E1410" s="256"/>
      <c r="F1410" s="256"/>
      <c r="G1410" s="256"/>
    </row>
    <row r="1411" spans="2:7" x14ac:dyDescent="0.25">
      <c r="B1411" s="106" t="s">
        <v>80</v>
      </c>
      <c r="C1411" s="257" t="str">
        <f>IFERROR(VLOOKUP(D1408,'DATOS REGISTRADOS'!B:C,2,FALSE)," ")</f>
        <v>Teresa Rivera Cortez</v>
      </c>
      <c r="D1411" s="257"/>
      <c r="E1411" s="258"/>
      <c r="F1411" s="258"/>
      <c r="G1411" s="258"/>
    </row>
    <row r="1412" spans="2:7" x14ac:dyDescent="0.25">
      <c r="B1412" s="108" t="s">
        <v>81</v>
      </c>
      <c r="C1412" s="264" t="str">
        <f>IFERROR(VLOOKUP(D1408,'DATOS REGISTRADOS'!B:Q,3,FALSE)," ")</f>
        <v>rey Fernando de aragon # 739 entre Cristobal Colon y puerto de palos</v>
      </c>
      <c r="D1412" s="265"/>
      <c r="E1412" s="35" t="s">
        <v>82</v>
      </c>
      <c r="F1412" s="258">
        <f>IFERROR(VLOOKUP(D1408,'DATOS REGISTRADOS'!B:Q,7,FALSE)," ")</f>
        <v>8115698175</v>
      </c>
      <c r="G1412" s="258"/>
    </row>
    <row r="1413" spans="2:7" x14ac:dyDescent="0.25">
      <c r="B1413" s="107"/>
      <c r="C1413" s="243" t="str">
        <f>IFERROR(VLOOKUP(D1408,'DATOS REGISTRADOS'!B:Q,4,FALSE)," ")</f>
        <v>colonia quinto centenario general Escobedo</v>
      </c>
      <c r="D1413" s="244"/>
      <c r="E1413" s="107"/>
      <c r="F1413" s="107"/>
      <c r="G1413" s="107"/>
    </row>
    <row r="1414" spans="2:7" x14ac:dyDescent="0.25">
      <c r="B1414" s="107"/>
      <c r="C1414" s="66" t="str">
        <f>IFERROR(VLOOKUP(D1408,'DATOS REGISTRADOS'!B:Q,5,FALSE)," ")</f>
        <v>Nuevo Leon</v>
      </c>
      <c r="D1414" s="67">
        <f>IFERROR(VLOOKUP(D1408,'DATOS REGISTRADOS'!B:Q,6,FALSE)," ")</f>
        <v>66072</v>
      </c>
      <c r="E1414" s="107"/>
      <c r="F1414" s="107"/>
      <c r="G1414" s="107"/>
    </row>
    <row r="1415" spans="2:7" x14ac:dyDescent="0.25">
      <c r="B1415" s="256" t="s">
        <v>83</v>
      </c>
      <c r="C1415" s="262"/>
      <c r="D1415" s="262"/>
      <c r="E1415" s="256"/>
      <c r="F1415" s="256"/>
      <c r="G1415" s="256"/>
    </row>
    <row r="1416" spans="2:7" x14ac:dyDescent="0.25">
      <c r="B1416" s="106" t="s">
        <v>84</v>
      </c>
      <c r="C1416" s="249" t="s">
        <v>85</v>
      </c>
      <c r="D1416" s="249"/>
      <c r="E1416" s="106" t="s">
        <v>86</v>
      </c>
      <c r="F1416" s="106" t="s">
        <v>87</v>
      </c>
      <c r="G1416" s="106" t="s">
        <v>57</v>
      </c>
    </row>
    <row r="1417" spans="2:7" x14ac:dyDescent="0.25">
      <c r="B1417" s="120" t="s">
        <v>328</v>
      </c>
      <c r="C1417" s="241" t="str">
        <f>IFERROR(VLOOKUP(B1417,'Productos '!B:C,2,FALSE)," ")</f>
        <v>Promoción 5cremas</v>
      </c>
      <c r="D1417" s="242"/>
      <c r="E1417" s="120">
        <v>1</v>
      </c>
      <c r="F1417" s="40">
        <f>IFERROR(VLOOKUP(B1417,'Productos '!B:G,3,FALSE)," ")</f>
        <v>517.24137931034488</v>
      </c>
      <c r="G1417" s="40">
        <f>IFERROR((F1417*E1417)," ")</f>
        <v>517.24137931034488</v>
      </c>
    </row>
    <row r="1418" spans="2:7" x14ac:dyDescent="0.25">
      <c r="B1418" s="120" t="s">
        <v>334</v>
      </c>
      <c r="C1418" s="241" t="str">
        <f>IFERROR(VLOOKUP(B1418,'Productos '!B:C,2,FALSE)," ")</f>
        <v>Promoción 3Minoxidil</v>
      </c>
      <c r="D1418" s="242"/>
      <c r="E1418" s="120">
        <v>1</v>
      </c>
      <c r="F1418" s="40">
        <f>IFERROR(VLOOKUP(B1418,'Productos '!B:G,3,FALSE)," ")</f>
        <v>258.62068965517244</v>
      </c>
      <c r="G1418" s="40">
        <f t="shared" ref="G1418:G1423" si="52">IFERROR((F1418*E1418)," ")</f>
        <v>258.62068965517244</v>
      </c>
    </row>
    <row r="1419" spans="2:7" x14ac:dyDescent="0.25">
      <c r="B1419" s="120" t="s">
        <v>118</v>
      </c>
      <c r="C1419" s="241" t="str">
        <f>IFERROR(VLOOKUP(B1419,'Productos '!B:C,2,FALSE)," ")</f>
        <v>Recompra 1 Activador Celular</v>
      </c>
      <c r="D1419" s="242"/>
      <c r="E1419" s="120">
        <v>1</v>
      </c>
      <c r="F1419" s="40">
        <f>IFERROR(VLOOKUP(B1419,'Productos '!B:G,3,FALSE)," ")</f>
        <v>431.0344827586207</v>
      </c>
      <c r="G1419" s="40">
        <f t="shared" si="52"/>
        <v>431.0344827586207</v>
      </c>
    </row>
    <row r="1420" spans="2:7" x14ac:dyDescent="0.25">
      <c r="B1420" s="120" t="s">
        <v>323</v>
      </c>
      <c r="C1420" s="241" t="str">
        <f>IFERROR(VLOOKUP(B1420,'Productos '!B:C,2,FALSE)," ")</f>
        <v>Promoción ActiCell</v>
      </c>
      <c r="D1420" s="242"/>
      <c r="E1420" s="120">
        <v>3</v>
      </c>
      <c r="F1420" s="40">
        <f>IFERROR(VLOOKUP(B1420,'Productos '!B:G,3,FALSE)," ")</f>
        <v>301.72413793103448</v>
      </c>
      <c r="G1420" s="40">
        <f t="shared" si="52"/>
        <v>905.17241379310349</v>
      </c>
    </row>
    <row r="1421" spans="2:7" x14ac:dyDescent="0.25">
      <c r="B1421" s="120" t="s">
        <v>321</v>
      </c>
      <c r="C1421" s="241" t="str">
        <f>IFERROR(VLOOKUP(B1421,'Productos '!B:C,2,FALSE)," ")</f>
        <v>Envio</v>
      </c>
      <c r="D1421" s="242"/>
      <c r="E1421" s="120">
        <v>2</v>
      </c>
      <c r="F1421" s="40">
        <f>IFERROR(VLOOKUP(B1421,'Productos '!B:G,3,FALSE)," ")</f>
        <v>103.44827586206897</v>
      </c>
      <c r="G1421" s="40">
        <f t="shared" si="52"/>
        <v>206.89655172413794</v>
      </c>
    </row>
    <row r="1422" spans="2:7" x14ac:dyDescent="0.25">
      <c r="B1422" s="120"/>
      <c r="C1422" s="241" t="str">
        <f>IFERROR(VLOOKUP(B1422,'Productos '!B:C,2,FALSE)," ")</f>
        <v xml:space="preserve"> </v>
      </c>
      <c r="D1422" s="242"/>
      <c r="E1422" s="120"/>
      <c r="F1422" s="40" t="str">
        <f>IFERROR(VLOOKUP(B1422,'Productos '!B:G,3,FALSE)," ")</f>
        <v xml:space="preserve"> </v>
      </c>
      <c r="G1422" s="40" t="str">
        <f t="shared" si="52"/>
        <v xml:space="preserve"> </v>
      </c>
    </row>
    <row r="1423" spans="2:7" x14ac:dyDescent="0.25">
      <c r="B1423" s="120"/>
      <c r="C1423" s="241" t="str">
        <f>IFERROR(VLOOKUP(B1423,'Productos '!B:C,2,FALSE)," ")</f>
        <v xml:space="preserve"> </v>
      </c>
      <c r="D1423" s="242"/>
      <c r="E1423" s="120"/>
      <c r="F1423" s="40" t="str">
        <f>IFERROR(VLOOKUP(B1423,'Productos '!B:G,3,FALSE)," ")</f>
        <v xml:space="preserve"> </v>
      </c>
      <c r="G1423" s="40" t="str">
        <f t="shared" si="52"/>
        <v xml:space="preserve"> </v>
      </c>
    </row>
    <row r="1424" spans="2:7" x14ac:dyDescent="0.25">
      <c r="B1424" s="107"/>
      <c r="C1424" s="253" t="s">
        <v>88</v>
      </c>
      <c r="D1424" s="254"/>
      <c r="E1424" s="38">
        <f>SUM(E1417:E1423)</f>
        <v>8</v>
      </c>
      <c r="F1424" s="106" t="s">
        <v>89</v>
      </c>
      <c r="G1424" s="40">
        <f>SUM(G1417:G1423)</f>
        <v>2318.96551724138</v>
      </c>
    </row>
    <row r="1425" spans="2:7" x14ac:dyDescent="0.25">
      <c r="B1425" s="107"/>
      <c r="C1425" s="107"/>
      <c r="D1425" s="107"/>
      <c r="E1425" s="107"/>
      <c r="F1425" s="106" t="s">
        <v>90</v>
      </c>
      <c r="G1425" s="40">
        <f>G1424*16%</f>
        <v>371.03448275862081</v>
      </c>
    </row>
    <row r="1426" spans="2:7" x14ac:dyDescent="0.25">
      <c r="B1426" s="106" t="s">
        <v>91</v>
      </c>
      <c r="C1426" s="241" t="str">
        <f>IFERROR(VLOOKUP(D1408,'DATOS REGISTRADOS'!B:R,17,FALSE)," ")</f>
        <v>Bertha Vázquez</v>
      </c>
      <c r="D1426" s="252"/>
      <c r="E1426" s="242"/>
      <c r="F1426" s="106" t="s">
        <v>57</v>
      </c>
      <c r="G1426" s="68">
        <f>SUM(G1424:G1425)</f>
        <v>2690.0000000000009</v>
      </c>
    </row>
    <row r="1427" spans="2:7" x14ac:dyDescent="0.25">
      <c r="B1427" s="245" t="s">
        <v>343</v>
      </c>
      <c r="C1427" s="245"/>
      <c r="D1427" s="245"/>
      <c r="E1427" s="245"/>
      <c r="F1427" s="245"/>
      <c r="G1427" s="245"/>
    </row>
    <row r="1428" spans="2:7" x14ac:dyDescent="0.25">
      <c r="B1428" s="246" t="s">
        <v>124</v>
      </c>
      <c r="C1428" s="247"/>
      <c r="D1428" s="247"/>
      <c r="E1428" s="247"/>
      <c r="F1428" s="247"/>
      <c r="G1428" s="248"/>
    </row>
    <row r="1429" spans="2:7" x14ac:dyDescent="0.25">
      <c r="B1429" s="54" t="s">
        <v>123</v>
      </c>
      <c r="C1429" s="105"/>
      <c r="D1429" s="245" t="s">
        <v>128</v>
      </c>
      <c r="E1429" s="245"/>
      <c r="F1429" s="245"/>
      <c r="G1429" s="245"/>
    </row>
    <row r="1432" spans="2:7" x14ac:dyDescent="0.25">
      <c r="B1432" s="100"/>
      <c r="C1432" s="100"/>
      <c r="D1432" s="100"/>
      <c r="E1432" s="100"/>
      <c r="F1432" s="100"/>
      <c r="G1432" s="100"/>
    </row>
    <row r="1433" spans="2:7" x14ac:dyDescent="0.25">
      <c r="B1433" s="100"/>
      <c r="C1433" s="250" t="s">
        <v>22</v>
      </c>
      <c r="D1433" s="250"/>
      <c r="E1433" s="42"/>
      <c r="F1433" s="100"/>
      <c r="G1433" s="100"/>
    </row>
    <row r="1434" spans="2:7" x14ac:dyDescent="0.25">
      <c r="B1434" s="100"/>
      <c r="C1434" s="251"/>
      <c r="D1434" s="251"/>
      <c r="E1434" s="100"/>
      <c r="F1434" s="43"/>
      <c r="G1434" s="100"/>
    </row>
    <row r="1435" spans="2:7" x14ac:dyDescent="0.25">
      <c r="B1435" s="100"/>
      <c r="C1435" s="27" t="s">
        <v>77</v>
      </c>
      <c r="D1435" s="41">
        <v>15</v>
      </c>
      <c r="E1435" s="104" t="s">
        <v>125</v>
      </c>
      <c r="F1435" s="56">
        <v>23</v>
      </c>
      <c r="G1435" s="100"/>
    </row>
    <row r="1436" spans="2:7" x14ac:dyDescent="0.25">
      <c r="B1436" s="100"/>
      <c r="C1436" s="29" t="s">
        <v>76</v>
      </c>
      <c r="D1436" s="102">
        <f>IFERROR(VLOOKUP(D1435,'DATOS REGISTRADOS'!B:Q,16,FALSE)," ")</f>
        <v>11</v>
      </c>
      <c r="E1436" s="30" t="s">
        <v>78</v>
      </c>
      <c r="F1436" s="31">
        <f ca="1">TODAY()</f>
        <v>44377</v>
      </c>
      <c r="G1436" s="100"/>
    </row>
    <row r="1437" spans="2:7" x14ac:dyDescent="0.25">
      <c r="B1437" s="256" t="s">
        <v>79</v>
      </c>
      <c r="C1437" s="256"/>
      <c r="D1437" s="256"/>
      <c r="E1437" s="256"/>
      <c r="F1437" s="256"/>
      <c r="G1437" s="256"/>
    </row>
    <row r="1438" spans="2:7" x14ac:dyDescent="0.25">
      <c r="B1438" s="104" t="s">
        <v>80</v>
      </c>
      <c r="C1438" s="257" t="str">
        <f>IFERROR(VLOOKUP(D1435,'DATOS REGISTRADOS'!B:C,2,FALSE)," ")</f>
        <v>Celia Salazar Soto</v>
      </c>
      <c r="D1438" s="257"/>
      <c r="E1438" s="258"/>
      <c r="F1438" s="258"/>
      <c r="G1438" s="258"/>
    </row>
    <row r="1439" spans="2:7" x14ac:dyDescent="0.25">
      <c r="B1439" s="101" t="s">
        <v>81</v>
      </c>
      <c r="C1439" s="264" t="str">
        <f>IFERROR(VLOOKUP(D1435,'DATOS REGISTRADOS'!B:Q,3,FALSE)," ")</f>
        <v>Martha332</v>
      </c>
      <c r="D1439" s="265"/>
      <c r="E1439" s="35" t="s">
        <v>82</v>
      </c>
      <c r="F1439" s="258" t="str">
        <f>IFERROR(VLOOKUP(D1435,'DATOS REGISTRADOS'!B:Q,7,FALSE)," ")</f>
        <v>81)88809050</v>
      </c>
      <c r="G1439" s="258"/>
    </row>
    <row r="1440" spans="2:7" x14ac:dyDescent="0.25">
      <c r="B1440" s="100"/>
      <c r="C1440" s="243" t="str">
        <f>IFERROR(VLOOKUP(D1435,'DATOS REGISTRADOS'!B:Q,4,FALSE)," ")</f>
        <v>Colonia los candiles, Apodaca</v>
      </c>
      <c r="D1440" s="244"/>
      <c r="E1440" s="100"/>
      <c r="F1440" s="100"/>
      <c r="G1440" s="100"/>
    </row>
    <row r="1441" spans="2:7" x14ac:dyDescent="0.25">
      <c r="B1441" s="100"/>
      <c r="C1441" s="66" t="str">
        <f>IFERROR(VLOOKUP(D1435,'DATOS REGISTRADOS'!B:Q,5,FALSE)," ")</f>
        <v>Nuevo León</v>
      </c>
      <c r="D1441" s="67">
        <f>IFERROR(VLOOKUP(D1435,'DATOS REGISTRADOS'!B:Q,6,FALSE)," ")</f>
        <v>0</v>
      </c>
      <c r="E1441" s="100"/>
      <c r="F1441" s="100"/>
      <c r="G1441" s="100"/>
    </row>
    <row r="1442" spans="2:7" x14ac:dyDescent="0.25">
      <c r="B1442" s="256" t="s">
        <v>83</v>
      </c>
      <c r="C1442" s="262"/>
      <c r="D1442" s="262"/>
      <c r="E1442" s="256"/>
      <c r="F1442" s="256"/>
      <c r="G1442" s="256"/>
    </row>
    <row r="1443" spans="2:7" x14ac:dyDescent="0.25">
      <c r="B1443" s="104" t="s">
        <v>84</v>
      </c>
      <c r="C1443" s="249" t="s">
        <v>85</v>
      </c>
      <c r="D1443" s="249"/>
      <c r="E1443" s="104" t="s">
        <v>86</v>
      </c>
      <c r="F1443" s="104" t="s">
        <v>87</v>
      </c>
      <c r="G1443" s="104" t="s">
        <v>57</v>
      </c>
    </row>
    <row r="1444" spans="2:7" x14ac:dyDescent="0.25">
      <c r="B1444" s="41" t="s">
        <v>341</v>
      </c>
      <c r="C1444" s="241" t="str">
        <f>IFERROR(VLOOKUP(B1444,'Productos '!B:C,2,FALSE)," ")</f>
        <v>Exclusivo Material de Apoyo</v>
      </c>
      <c r="D1444" s="242"/>
      <c r="E1444" s="41">
        <v>50</v>
      </c>
      <c r="F1444" s="40">
        <f>IFERROR(VLOOKUP(B1444,'Productos '!B:G,3,FALSE)," ")</f>
        <v>215.51724137931035</v>
      </c>
      <c r="G1444" s="40">
        <f>IFERROR((F1444*E1444)," ")</f>
        <v>10775.862068965518</v>
      </c>
    </row>
    <row r="1445" spans="2:7" x14ac:dyDescent="0.25">
      <c r="B1445" s="41"/>
      <c r="C1445" s="241" t="str">
        <f>IFERROR(VLOOKUP(B1445,'Productos '!B:C,2,FALSE)," ")</f>
        <v xml:space="preserve"> </v>
      </c>
      <c r="D1445" s="242"/>
      <c r="E1445" s="41"/>
      <c r="F1445" s="40" t="str">
        <f>IFERROR(VLOOKUP(B1445,'Productos '!B:G,3,FALSE)," ")</f>
        <v xml:space="preserve"> </v>
      </c>
      <c r="G1445" s="40" t="str">
        <f t="shared" ref="G1445:G1450" si="53">IFERROR((F1445*E1445)," ")</f>
        <v xml:space="preserve"> </v>
      </c>
    </row>
    <row r="1446" spans="2:7" x14ac:dyDescent="0.25">
      <c r="B1446" s="41"/>
      <c r="C1446" s="241" t="str">
        <f>IFERROR(VLOOKUP(B1446,'Productos '!B:C,2,FALSE)," ")</f>
        <v xml:space="preserve"> </v>
      </c>
      <c r="D1446" s="242"/>
      <c r="E1446" s="41"/>
      <c r="F1446" s="40" t="str">
        <f>IFERROR(VLOOKUP(B1446,'Productos '!B:G,3,FALSE)," ")</f>
        <v xml:space="preserve"> </v>
      </c>
      <c r="G1446" s="40" t="str">
        <f t="shared" si="53"/>
        <v xml:space="preserve"> </v>
      </c>
    </row>
    <row r="1447" spans="2:7" x14ac:dyDescent="0.25">
      <c r="B1447" s="41"/>
      <c r="C1447" s="241" t="str">
        <f>IFERROR(VLOOKUP(B1447,'Productos '!B:C,2,FALSE)," ")</f>
        <v xml:space="preserve"> </v>
      </c>
      <c r="D1447" s="242"/>
      <c r="E1447" s="41"/>
      <c r="F1447" s="40" t="str">
        <f>IFERROR(VLOOKUP(B1447,'Productos '!B:G,3,FALSE)," ")</f>
        <v xml:space="preserve"> </v>
      </c>
      <c r="G1447" s="40" t="str">
        <f t="shared" si="53"/>
        <v xml:space="preserve"> </v>
      </c>
    </row>
    <row r="1448" spans="2:7" x14ac:dyDescent="0.25">
      <c r="B1448" s="41"/>
      <c r="C1448" s="241" t="str">
        <f>IFERROR(VLOOKUP(B1448,'Productos '!B:C,2,FALSE)," ")</f>
        <v xml:space="preserve"> </v>
      </c>
      <c r="D1448" s="242"/>
      <c r="E1448" s="41"/>
      <c r="F1448" s="40" t="str">
        <f>IFERROR(VLOOKUP(B1448,'Productos '!B:G,3,FALSE)," ")</f>
        <v xml:space="preserve"> </v>
      </c>
      <c r="G1448" s="40" t="str">
        <f t="shared" si="53"/>
        <v xml:space="preserve"> </v>
      </c>
    </row>
    <row r="1449" spans="2:7" x14ac:dyDescent="0.25">
      <c r="B1449" s="41"/>
      <c r="C1449" s="241" t="str">
        <f>IFERROR(VLOOKUP(B1449,'Productos '!B:C,2,FALSE)," ")</f>
        <v xml:space="preserve"> </v>
      </c>
      <c r="D1449" s="242"/>
      <c r="E1449" s="41"/>
      <c r="F1449" s="40" t="str">
        <f>IFERROR(VLOOKUP(B1449,'Productos '!B:G,3,FALSE)," ")</f>
        <v xml:space="preserve"> </v>
      </c>
      <c r="G1449" s="40" t="str">
        <f t="shared" si="53"/>
        <v xml:space="preserve"> </v>
      </c>
    </row>
    <row r="1450" spans="2:7" x14ac:dyDescent="0.25">
      <c r="B1450" s="41"/>
      <c r="C1450" s="241" t="str">
        <f>IFERROR(VLOOKUP(B1450,'Productos '!B:C,2,FALSE)," ")</f>
        <v xml:space="preserve"> </v>
      </c>
      <c r="D1450" s="242"/>
      <c r="E1450" s="41"/>
      <c r="F1450" s="40" t="str">
        <f>IFERROR(VLOOKUP(B1450,'Productos '!B:G,3,FALSE)," ")</f>
        <v xml:space="preserve"> </v>
      </c>
      <c r="G1450" s="40" t="str">
        <f t="shared" si="53"/>
        <v xml:space="preserve"> </v>
      </c>
    </row>
    <row r="1451" spans="2:7" x14ac:dyDescent="0.25">
      <c r="B1451" s="100"/>
      <c r="C1451" s="253" t="s">
        <v>88</v>
      </c>
      <c r="D1451" s="254"/>
      <c r="E1451" s="38">
        <f>SUM(E1444:E1450)</f>
        <v>50</v>
      </c>
      <c r="F1451" s="104" t="s">
        <v>89</v>
      </c>
      <c r="G1451" s="40">
        <f>SUM(G1444:G1450)</f>
        <v>10775.862068965518</v>
      </c>
    </row>
    <row r="1452" spans="2:7" x14ac:dyDescent="0.25">
      <c r="B1452" s="100"/>
      <c r="C1452" s="100"/>
      <c r="D1452" s="100"/>
      <c r="E1452" s="100"/>
      <c r="F1452" s="104" t="s">
        <v>90</v>
      </c>
      <c r="G1452" s="40">
        <f>G1451*16%</f>
        <v>1724.137931034483</v>
      </c>
    </row>
    <row r="1453" spans="2:7" x14ac:dyDescent="0.25">
      <c r="B1453" s="104" t="s">
        <v>91</v>
      </c>
      <c r="C1453" s="241" t="str">
        <f>IFERROR(VLOOKUP(D1435,'DATOS REGISTRADOS'!B:R,17,FALSE)," ")</f>
        <v>Silvano Cavazos Salazar</v>
      </c>
      <c r="D1453" s="252"/>
      <c r="E1453" s="242"/>
      <c r="F1453" s="104" t="s">
        <v>57</v>
      </c>
      <c r="G1453" s="68">
        <f>SUM(G1451:G1452)</f>
        <v>12500.000000000002</v>
      </c>
    </row>
    <row r="1454" spans="2:7" x14ac:dyDescent="0.25">
      <c r="B1454" s="245" t="s">
        <v>129</v>
      </c>
      <c r="C1454" s="245"/>
      <c r="D1454" s="245"/>
      <c r="E1454" s="245"/>
      <c r="F1454" s="245"/>
      <c r="G1454" s="245"/>
    </row>
    <row r="1455" spans="2:7" x14ac:dyDescent="0.25">
      <c r="B1455" s="246" t="s">
        <v>124</v>
      </c>
      <c r="C1455" s="247"/>
      <c r="D1455" s="247"/>
      <c r="E1455" s="247"/>
      <c r="F1455" s="247"/>
      <c r="G1455" s="248"/>
    </row>
    <row r="1456" spans="2:7" x14ac:dyDescent="0.25">
      <c r="B1456" s="54" t="s">
        <v>123</v>
      </c>
      <c r="C1456" s="103"/>
      <c r="D1456" s="245" t="s">
        <v>128</v>
      </c>
      <c r="E1456" s="245"/>
      <c r="F1456" s="245"/>
      <c r="G1456" s="245"/>
    </row>
    <row r="1459" spans="2:7" x14ac:dyDescent="0.25">
      <c r="B1459" s="100"/>
      <c r="C1459" s="100"/>
      <c r="D1459" s="100"/>
      <c r="E1459" s="100"/>
      <c r="F1459" s="100"/>
      <c r="G1459" s="100"/>
    </row>
    <row r="1460" spans="2:7" x14ac:dyDescent="0.25">
      <c r="B1460" s="100"/>
      <c r="C1460" s="250" t="s">
        <v>22</v>
      </c>
      <c r="D1460" s="250"/>
      <c r="E1460" s="42"/>
      <c r="F1460" s="100"/>
      <c r="G1460" s="100"/>
    </row>
    <row r="1461" spans="2:7" x14ac:dyDescent="0.25">
      <c r="B1461" s="100"/>
      <c r="C1461" s="251"/>
      <c r="D1461" s="251"/>
      <c r="E1461" s="100"/>
      <c r="F1461" s="43"/>
      <c r="G1461" s="100"/>
    </row>
    <row r="1462" spans="2:7" x14ac:dyDescent="0.25">
      <c r="B1462" s="100"/>
      <c r="C1462" s="27" t="s">
        <v>77</v>
      </c>
      <c r="D1462" s="41"/>
      <c r="E1462" s="104" t="s">
        <v>125</v>
      </c>
      <c r="F1462" s="56">
        <v>22</v>
      </c>
      <c r="G1462" s="100"/>
    </row>
    <row r="1463" spans="2:7" x14ac:dyDescent="0.25">
      <c r="B1463" s="100"/>
      <c r="C1463" s="29" t="s">
        <v>76</v>
      </c>
      <c r="D1463" s="102" t="str">
        <f>IFERROR(VLOOKUP(D1462,'DATOS REGISTRADOS'!B:Q,16,FALSE)," ")</f>
        <v xml:space="preserve"> </v>
      </c>
      <c r="E1463" s="30" t="s">
        <v>78</v>
      </c>
      <c r="F1463" s="31">
        <f ca="1">TODAY()</f>
        <v>44377</v>
      </c>
      <c r="G1463" s="100"/>
    </row>
    <row r="1464" spans="2:7" x14ac:dyDescent="0.25">
      <c r="B1464" s="256" t="s">
        <v>79</v>
      </c>
      <c r="C1464" s="256"/>
      <c r="D1464" s="256"/>
      <c r="E1464" s="256"/>
      <c r="F1464" s="256"/>
      <c r="G1464" s="256"/>
    </row>
    <row r="1465" spans="2:7" x14ac:dyDescent="0.25">
      <c r="B1465" s="104" t="s">
        <v>80</v>
      </c>
      <c r="C1465" s="257" t="str">
        <f>IFERROR(VLOOKUP(D1462,'DATOS REGISTRADOS'!B:C,2,FALSE)," ")</f>
        <v xml:space="preserve"> </v>
      </c>
      <c r="D1465" s="257"/>
      <c r="E1465" s="258"/>
      <c r="F1465" s="258"/>
      <c r="G1465" s="258"/>
    </row>
    <row r="1466" spans="2:7" x14ac:dyDescent="0.25">
      <c r="B1466" s="101" t="s">
        <v>81</v>
      </c>
      <c r="C1466" s="264" t="str">
        <f>IFERROR(VLOOKUP(D1462,'DATOS REGISTRADOS'!B:Q,3,FALSE)," ")</f>
        <v xml:space="preserve"> </v>
      </c>
      <c r="D1466" s="265"/>
      <c r="E1466" s="35" t="s">
        <v>82</v>
      </c>
      <c r="F1466" s="258" t="str">
        <f>IFERROR(VLOOKUP(D1462,'DATOS REGISTRADOS'!B:Q,7,FALSE)," ")</f>
        <v xml:space="preserve"> </v>
      </c>
      <c r="G1466" s="258"/>
    </row>
    <row r="1467" spans="2:7" x14ac:dyDescent="0.25">
      <c r="B1467" s="100"/>
      <c r="C1467" s="243" t="str">
        <f>IFERROR(VLOOKUP(D1462,'DATOS REGISTRADOS'!B:Q,4,FALSE)," ")</f>
        <v xml:space="preserve"> </v>
      </c>
      <c r="D1467" s="244"/>
      <c r="E1467" s="100"/>
      <c r="F1467" s="100"/>
      <c r="G1467" s="100"/>
    </row>
    <row r="1468" spans="2:7" x14ac:dyDescent="0.25">
      <c r="B1468" s="100"/>
      <c r="C1468" s="66" t="str">
        <f>IFERROR(VLOOKUP(D1462,'DATOS REGISTRADOS'!B:Q,5,FALSE)," ")</f>
        <v xml:space="preserve"> </v>
      </c>
      <c r="D1468" s="67" t="str">
        <f>IFERROR(VLOOKUP(D1462,'DATOS REGISTRADOS'!B:Q,6,FALSE)," ")</f>
        <v xml:space="preserve"> </v>
      </c>
      <c r="E1468" s="100"/>
      <c r="F1468" s="100"/>
      <c r="G1468" s="100"/>
    </row>
    <row r="1469" spans="2:7" x14ac:dyDescent="0.25">
      <c r="B1469" s="256" t="s">
        <v>83</v>
      </c>
      <c r="C1469" s="262"/>
      <c r="D1469" s="262"/>
      <c r="E1469" s="256"/>
      <c r="F1469" s="256"/>
      <c r="G1469" s="256"/>
    </row>
    <row r="1470" spans="2:7" x14ac:dyDescent="0.25">
      <c r="B1470" s="104" t="s">
        <v>84</v>
      </c>
      <c r="C1470" s="249" t="s">
        <v>85</v>
      </c>
      <c r="D1470" s="249"/>
      <c r="E1470" s="104" t="s">
        <v>86</v>
      </c>
      <c r="F1470" s="104" t="s">
        <v>87</v>
      </c>
      <c r="G1470" s="104" t="s">
        <v>57</v>
      </c>
    </row>
    <row r="1471" spans="2:7" x14ac:dyDescent="0.25">
      <c r="B1471" s="41"/>
      <c r="C1471" s="241" t="str">
        <f>IFERROR(VLOOKUP(B1471,'Productos '!B:C,2,FALSE)," ")</f>
        <v xml:space="preserve"> </v>
      </c>
      <c r="D1471" s="242"/>
      <c r="E1471" s="41"/>
      <c r="F1471" s="40" t="str">
        <f>IFERROR(VLOOKUP(B1471,'Productos '!B:G,3,FALSE)," ")</f>
        <v xml:space="preserve"> </v>
      </c>
      <c r="G1471" s="40" t="str">
        <f>IFERROR((F1471*E1471)," ")</f>
        <v xml:space="preserve"> </v>
      </c>
    </row>
    <row r="1472" spans="2:7" x14ac:dyDescent="0.25">
      <c r="B1472" s="41"/>
      <c r="C1472" s="241" t="str">
        <f>IFERROR(VLOOKUP(B1472,'Productos '!B:C,2,FALSE)," ")</f>
        <v xml:space="preserve"> </v>
      </c>
      <c r="D1472" s="242"/>
      <c r="E1472" s="41"/>
      <c r="F1472" s="40" t="str">
        <f>IFERROR(VLOOKUP(B1472,'Productos '!B:G,3,FALSE)," ")</f>
        <v xml:space="preserve"> </v>
      </c>
      <c r="G1472" s="40" t="str">
        <f t="shared" ref="G1472:G1477" si="54">IFERROR((F1472*E1472)," ")</f>
        <v xml:space="preserve"> </v>
      </c>
    </row>
    <row r="1473" spans="2:7" x14ac:dyDescent="0.25">
      <c r="B1473" s="41"/>
      <c r="C1473" s="241" t="str">
        <f>IFERROR(VLOOKUP(B1473,'Productos '!B:C,2,FALSE)," ")</f>
        <v xml:space="preserve"> </v>
      </c>
      <c r="D1473" s="242"/>
      <c r="E1473" s="41"/>
      <c r="F1473" s="40" t="str">
        <f>IFERROR(VLOOKUP(B1473,'Productos '!B:G,3,FALSE)," ")</f>
        <v xml:space="preserve"> </v>
      </c>
      <c r="G1473" s="40" t="str">
        <f t="shared" si="54"/>
        <v xml:space="preserve"> </v>
      </c>
    </row>
    <row r="1474" spans="2:7" x14ac:dyDescent="0.25">
      <c r="B1474" s="41"/>
      <c r="C1474" s="241" t="str">
        <f>IFERROR(VLOOKUP(B1474,'Productos '!B:C,2,FALSE)," ")</f>
        <v xml:space="preserve"> </v>
      </c>
      <c r="D1474" s="242"/>
      <c r="E1474" s="41"/>
      <c r="F1474" s="40" t="str">
        <f>IFERROR(VLOOKUP(B1474,'Productos '!B:G,3,FALSE)," ")</f>
        <v xml:space="preserve"> </v>
      </c>
      <c r="G1474" s="40" t="str">
        <f t="shared" si="54"/>
        <v xml:space="preserve"> </v>
      </c>
    </row>
    <row r="1475" spans="2:7" x14ac:dyDescent="0.25">
      <c r="B1475" s="41"/>
      <c r="C1475" s="241" t="str">
        <f>IFERROR(VLOOKUP(B1475,'Productos '!B:C,2,FALSE)," ")</f>
        <v xml:space="preserve"> </v>
      </c>
      <c r="D1475" s="242"/>
      <c r="E1475" s="41"/>
      <c r="F1475" s="40" t="str">
        <f>IFERROR(VLOOKUP(B1475,'Productos '!B:G,3,FALSE)," ")</f>
        <v xml:space="preserve"> </v>
      </c>
      <c r="G1475" s="40" t="str">
        <f t="shared" si="54"/>
        <v xml:space="preserve"> </v>
      </c>
    </row>
    <row r="1476" spans="2:7" x14ac:dyDescent="0.25">
      <c r="B1476" s="41"/>
      <c r="C1476" s="241" t="str">
        <f>IFERROR(VLOOKUP(B1476,'Productos '!B:C,2,FALSE)," ")</f>
        <v xml:space="preserve"> </v>
      </c>
      <c r="D1476" s="242"/>
      <c r="E1476" s="41"/>
      <c r="F1476" s="40" t="str">
        <f>IFERROR(VLOOKUP(B1476,'Productos '!B:G,3,FALSE)," ")</f>
        <v xml:space="preserve"> </v>
      </c>
      <c r="G1476" s="40" t="str">
        <f t="shared" si="54"/>
        <v xml:space="preserve"> </v>
      </c>
    </row>
    <row r="1477" spans="2:7" x14ac:dyDescent="0.25">
      <c r="B1477" s="41"/>
      <c r="C1477" s="241" t="str">
        <f>IFERROR(VLOOKUP(B1477,'Productos '!B:C,2,FALSE)," ")</f>
        <v xml:space="preserve"> </v>
      </c>
      <c r="D1477" s="242"/>
      <c r="E1477" s="41"/>
      <c r="F1477" s="40" t="str">
        <f>IFERROR(VLOOKUP(B1477,'Productos '!B:G,3,FALSE)," ")</f>
        <v xml:space="preserve"> </v>
      </c>
      <c r="G1477" s="40" t="str">
        <f t="shared" si="54"/>
        <v xml:space="preserve"> </v>
      </c>
    </row>
    <row r="1478" spans="2:7" x14ac:dyDescent="0.25">
      <c r="B1478" s="100"/>
      <c r="C1478" s="253" t="s">
        <v>88</v>
      </c>
      <c r="D1478" s="254"/>
      <c r="E1478" s="38">
        <f>SUM(E1471:E1477)</f>
        <v>0</v>
      </c>
      <c r="F1478" s="104" t="s">
        <v>89</v>
      </c>
      <c r="G1478" s="40">
        <f>SUM(G1471:G1477)</f>
        <v>0</v>
      </c>
    </row>
    <row r="1479" spans="2:7" x14ac:dyDescent="0.25">
      <c r="B1479" s="100"/>
      <c r="C1479" s="100"/>
      <c r="D1479" s="100"/>
      <c r="E1479" s="100"/>
      <c r="F1479" s="104" t="s">
        <v>90</v>
      </c>
      <c r="G1479" s="40">
        <f>G1478*16%</f>
        <v>0</v>
      </c>
    </row>
    <row r="1480" spans="2:7" x14ac:dyDescent="0.25">
      <c r="B1480" s="104" t="s">
        <v>91</v>
      </c>
      <c r="C1480" s="241" t="str">
        <f>IFERROR(VLOOKUP(D1462,'DATOS REGISTRADOS'!B:R,17,FALSE)," ")</f>
        <v xml:space="preserve"> </v>
      </c>
      <c r="D1480" s="252"/>
      <c r="E1480" s="242"/>
      <c r="F1480" s="104" t="s">
        <v>57</v>
      </c>
      <c r="G1480" s="68">
        <f>SUM(G1478:G1479)</f>
        <v>0</v>
      </c>
    </row>
    <row r="1481" spans="2:7" x14ac:dyDescent="0.25">
      <c r="B1481" s="245" t="s">
        <v>129</v>
      </c>
      <c r="C1481" s="245"/>
      <c r="D1481" s="245"/>
      <c r="E1481" s="245"/>
      <c r="F1481" s="245"/>
      <c r="G1481" s="245"/>
    </row>
    <row r="1482" spans="2:7" x14ac:dyDescent="0.25">
      <c r="B1482" s="246" t="s">
        <v>124</v>
      </c>
      <c r="C1482" s="247"/>
      <c r="D1482" s="247"/>
      <c r="E1482" s="247"/>
      <c r="F1482" s="247"/>
      <c r="G1482" s="248"/>
    </row>
    <row r="1483" spans="2:7" x14ac:dyDescent="0.25">
      <c r="B1483" s="54" t="s">
        <v>123</v>
      </c>
      <c r="C1483" s="103"/>
      <c r="D1483" s="245" t="s">
        <v>128</v>
      </c>
      <c r="E1483" s="245"/>
      <c r="F1483" s="245"/>
      <c r="G1483" s="245"/>
    </row>
    <row r="1486" spans="2:7" x14ac:dyDescent="0.25">
      <c r="B1486" s="100"/>
      <c r="C1486" s="100"/>
      <c r="D1486" s="100"/>
      <c r="E1486" s="100"/>
      <c r="F1486" s="100"/>
      <c r="G1486" s="100"/>
    </row>
    <row r="1487" spans="2:7" x14ac:dyDescent="0.25">
      <c r="B1487" s="100"/>
      <c r="C1487" s="250" t="s">
        <v>22</v>
      </c>
      <c r="D1487" s="250"/>
      <c r="E1487" s="42"/>
      <c r="F1487" s="100"/>
      <c r="G1487" s="100"/>
    </row>
    <row r="1488" spans="2:7" x14ac:dyDescent="0.25">
      <c r="B1488" s="100"/>
      <c r="C1488" s="251"/>
      <c r="D1488" s="251"/>
      <c r="E1488" s="100"/>
      <c r="F1488" s="43"/>
      <c r="G1488" s="100"/>
    </row>
    <row r="1489" spans="2:7" x14ac:dyDescent="0.25">
      <c r="B1489" s="100"/>
      <c r="C1489" s="27" t="s">
        <v>77</v>
      </c>
      <c r="D1489" s="41">
        <v>36</v>
      </c>
      <c r="E1489" s="104" t="s">
        <v>125</v>
      </c>
      <c r="F1489" s="56">
        <v>21</v>
      </c>
      <c r="G1489" s="100"/>
    </row>
    <row r="1490" spans="2:7" x14ac:dyDescent="0.25">
      <c r="B1490" s="100"/>
      <c r="C1490" s="29" t="s">
        <v>76</v>
      </c>
      <c r="D1490" s="102">
        <f>IFERROR(VLOOKUP(D1489,'DATOS REGISTRADOS'!B:Q,16,FALSE)," ")</f>
        <v>30</v>
      </c>
      <c r="E1490" s="30" t="s">
        <v>78</v>
      </c>
      <c r="F1490" s="31">
        <f ca="1">TODAY()</f>
        <v>44377</v>
      </c>
      <c r="G1490" s="100"/>
    </row>
    <row r="1491" spans="2:7" x14ac:dyDescent="0.25">
      <c r="B1491" s="256" t="s">
        <v>79</v>
      </c>
      <c r="C1491" s="256"/>
      <c r="D1491" s="256"/>
      <c r="E1491" s="256"/>
      <c r="F1491" s="256"/>
      <c r="G1491" s="256"/>
    </row>
    <row r="1492" spans="2:7" x14ac:dyDescent="0.25">
      <c r="B1492" s="104" t="s">
        <v>80</v>
      </c>
      <c r="C1492" s="257" t="str">
        <f>IFERROR(VLOOKUP(D1489,'DATOS REGISTRADOS'!B:C,2,FALSE)," ")</f>
        <v>Maria del Carmen Segura Aguilar</v>
      </c>
      <c r="D1492" s="257"/>
      <c r="E1492" s="258"/>
      <c r="F1492" s="258"/>
      <c r="G1492" s="258"/>
    </row>
    <row r="1493" spans="2:7" x14ac:dyDescent="0.25">
      <c r="B1493" s="101" t="s">
        <v>81</v>
      </c>
      <c r="C1493" s="264" t="str">
        <f>IFERROR(VLOOKUP(D1489,'DATOS REGISTRADOS'!B:Q,3,FALSE)," ")</f>
        <v>Mitla # 8020 col.Lomas Modelo</v>
      </c>
      <c r="D1493" s="265"/>
      <c r="E1493" s="35" t="s">
        <v>82</v>
      </c>
      <c r="F1493" s="258">
        <f>IFERROR(VLOOKUP(D1489,'DATOS REGISTRADOS'!B:Q,7,FALSE)," ")</f>
        <v>8115993799</v>
      </c>
      <c r="G1493" s="258"/>
    </row>
    <row r="1494" spans="2:7" x14ac:dyDescent="0.25">
      <c r="B1494" s="100"/>
      <c r="C1494" s="243" t="str">
        <f>IFERROR(VLOOKUP(D1489,'DATOS REGISTRADOS'!B:Q,4,FALSE)," ")</f>
        <v>entre Tlatelolco y Tlacopan , cruz con Tizoc</v>
      </c>
      <c r="D1494" s="244"/>
      <c r="E1494" s="100"/>
      <c r="F1494" s="100"/>
      <c r="G1494" s="100"/>
    </row>
    <row r="1495" spans="2:7" x14ac:dyDescent="0.25">
      <c r="B1495" s="100"/>
      <c r="C1495" s="66" t="str">
        <f>IFERROR(VLOOKUP(D1489,'DATOS REGISTRADOS'!B:Q,5,FALSE)," ")</f>
        <v>Monterrey Nuevo Leon</v>
      </c>
      <c r="D1495" s="67">
        <f>IFERROR(VLOOKUP(D1489,'DATOS REGISTRADOS'!B:Q,6,FALSE)," ")</f>
        <v>64140</v>
      </c>
      <c r="E1495" s="100"/>
      <c r="F1495" s="100"/>
      <c r="G1495" s="100"/>
    </row>
    <row r="1496" spans="2:7" x14ac:dyDescent="0.25">
      <c r="B1496" s="256" t="s">
        <v>83</v>
      </c>
      <c r="C1496" s="262"/>
      <c r="D1496" s="262"/>
      <c r="E1496" s="256"/>
      <c r="F1496" s="256"/>
      <c r="G1496" s="256"/>
    </row>
    <row r="1497" spans="2:7" x14ac:dyDescent="0.25">
      <c r="B1497" s="104" t="s">
        <v>84</v>
      </c>
      <c r="C1497" s="249" t="s">
        <v>85</v>
      </c>
      <c r="D1497" s="249"/>
      <c r="E1497" s="104" t="s">
        <v>86</v>
      </c>
      <c r="F1497" s="104" t="s">
        <v>87</v>
      </c>
      <c r="G1497" s="104" t="s">
        <v>57</v>
      </c>
    </row>
    <row r="1498" spans="2:7" x14ac:dyDescent="0.25">
      <c r="B1498" s="41" t="s">
        <v>126</v>
      </c>
      <c r="C1498" s="241" t="str">
        <f>IFERROR(VLOOKUP(B1498,'Productos '!B:C,2,FALSE)," ")</f>
        <v>Recompra 1 Activador Celular</v>
      </c>
      <c r="D1498" s="242"/>
      <c r="E1498" s="41">
        <v>1</v>
      </c>
      <c r="F1498" s="40">
        <f>IFERROR(VLOOKUP(B1498,'Productos '!B:G,3,FALSE)," ")</f>
        <v>431.0344827586207</v>
      </c>
      <c r="G1498" s="40">
        <f>IFERROR((F1498*E1498)," ")</f>
        <v>431.0344827586207</v>
      </c>
    </row>
    <row r="1499" spans="2:7" x14ac:dyDescent="0.25">
      <c r="B1499" s="41" t="s">
        <v>323</v>
      </c>
      <c r="C1499" s="241" t="str">
        <f>IFERROR(VLOOKUP(B1499,'Productos '!B:C,2,FALSE)," ")</f>
        <v>Promoción ActiCell</v>
      </c>
      <c r="D1499" s="242"/>
      <c r="E1499" s="41">
        <v>1</v>
      </c>
      <c r="F1499" s="40">
        <f>IFERROR(VLOOKUP(B1499,'Productos '!B:G,3,FALSE)," ")</f>
        <v>301.72413793103448</v>
      </c>
      <c r="G1499" s="40">
        <f t="shared" ref="G1499:G1504" si="55">IFERROR((F1499*E1499)," ")</f>
        <v>301.72413793103448</v>
      </c>
    </row>
    <row r="1500" spans="2:7" x14ac:dyDescent="0.25">
      <c r="B1500" s="41" t="s">
        <v>325</v>
      </c>
      <c r="C1500" s="241" t="str">
        <f>IFERROR(VLOOKUP(B1500,'Productos '!B:C,2,FALSE)," ")</f>
        <v>Promoción 2cremas</v>
      </c>
      <c r="D1500" s="242"/>
      <c r="E1500" s="41">
        <v>1</v>
      </c>
      <c r="F1500" s="40">
        <f>IFERROR(VLOOKUP(B1500,'Productos '!B:G,3,FALSE)," ")</f>
        <v>258.62068965517244</v>
      </c>
      <c r="G1500" s="40">
        <f t="shared" si="55"/>
        <v>258.62068965517244</v>
      </c>
    </row>
    <row r="1501" spans="2:7" x14ac:dyDescent="0.25">
      <c r="B1501" s="41" t="s">
        <v>321</v>
      </c>
      <c r="C1501" s="241" t="str">
        <f>IFERROR(VLOOKUP(B1501,'Productos '!B:C,2,FALSE)," ")</f>
        <v>Envio</v>
      </c>
      <c r="D1501" s="242"/>
      <c r="E1501" s="41">
        <v>1</v>
      </c>
      <c r="F1501" s="40">
        <f>IFERROR(VLOOKUP(B1501,'Productos '!B:G,3,FALSE)," ")</f>
        <v>103.44827586206897</v>
      </c>
      <c r="G1501" s="40">
        <f t="shared" si="55"/>
        <v>103.44827586206897</v>
      </c>
    </row>
    <row r="1502" spans="2:7" x14ac:dyDescent="0.25">
      <c r="B1502" s="41"/>
      <c r="C1502" s="241" t="str">
        <f>IFERROR(VLOOKUP(B1502,'Productos '!B:C,2,FALSE)," ")</f>
        <v xml:space="preserve"> </v>
      </c>
      <c r="D1502" s="242"/>
      <c r="E1502" s="41"/>
      <c r="F1502" s="40" t="str">
        <f>IFERROR(VLOOKUP(B1502,'Productos '!B:G,3,FALSE)," ")</f>
        <v xml:space="preserve"> </v>
      </c>
      <c r="G1502" s="40" t="str">
        <f t="shared" si="55"/>
        <v xml:space="preserve"> </v>
      </c>
    </row>
    <row r="1503" spans="2:7" x14ac:dyDescent="0.25">
      <c r="B1503" s="41"/>
      <c r="C1503" s="241" t="str">
        <f>IFERROR(VLOOKUP(B1503,'Productos '!B:C,2,FALSE)," ")</f>
        <v xml:space="preserve"> </v>
      </c>
      <c r="D1503" s="242"/>
      <c r="E1503" s="41"/>
      <c r="F1503" s="40" t="str">
        <f>IFERROR(VLOOKUP(B1503,'Productos '!B:G,3,FALSE)," ")</f>
        <v xml:space="preserve"> </v>
      </c>
      <c r="G1503" s="40" t="str">
        <f t="shared" si="55"/>
        <v xml:space="preserve"> </v>
      </c>
    </row>
    <row r="1504" spans="2:7" x14ac:dyDescent="0.25">
      <c r="B1504" s="41"/>
      <c r="C1504" s="241" t="str">
        <f>IFERROR(VLOOKUP(B1504,'Productos '!B:C,2,FALSE)," ")</f>
        <v xml:space="preserve"> </v>
      </c>
      <c r="D1504" s="242"/>
      <c r="E1504" s="41"/>
      <c r="F1504" s="40" t="str">
        <f>IFERROR(VLOOKUP(B1504,'Productos '!B:G,3,FALSE)," ")</f>
        <v xml:space="preserve"> </v>
      </c>
      <c r="G1504" s="40" t="str">
        <f t="shared" si="55"/>
        <v xml:space="preserve"> </v>
      </c>
    </row>
    <row r="1505" spans="2:7" x14ac:dyDescent="0.25">
      <c r="B1505" s="100"/>
      <c r="C1505" s="253" t="s">
        <v>88</v>
      </c>
      <c r="D1505" s="254"/>
      <c r="E1505" s="38">
        <f>SUM(E1498:E1504)</f>
        <v>4</v>
      </c>
      <c r="F1505" s="104" t="s">
        <v>89</v>
      </c>
      <c r="G1505" s="40">
        <f>SUM(G1498:G1504)</f>
        <v>1094.8275862068965</v>
      </c>
    </row>
    <row r="1506" spans="2:7" x14ac:dyDescent="0.25">
      <c r="B1506" s="100"/>
      <c r="C1506" s="100"/>
      <c r="D1506" s="100"/>
      <c r="E1506" s="100"/>
      <c r="F1506" s="104" t="s">
        <v>90</v>
      </c>
      <c r="G1506" s="40">
        <f>G1505*16%</f>
        <v>175.17241379310346</v>
      </c>
    </row>
    <row r="1507" spans="2:7" x14ac:dyDescent="0.25">
      <c r="B1507" s="104" t="s">
        <v>91</v>
      </c>
      <c r="C1507" s="241" t="str">
        <f>IFERROR(VLOOKUP(D1489,'DATOS REGISTRADOS'!B:R,17,FALSE)," ")</f>
        <v>Marina Concepcion Salazar Soto</v>
      </c>
      <c r="D1507" s="252"/>
      <c r="E1507" s="242"/>
      <c r="F1507" s="104" t="s">
        <v>57</v>
      </c>
      <c r="G1507" s="68">
        <f>SUM(G1505:G1506)</f>
        <v>1270</v>
      </c>
    </row>
    <row r="1508" spans="2:7" x14ac:dyDescent="0.25">
      <c r="B1508" s="245" t="s">
        <v>129</v>
      </c>
      <c r="C1508" s="245"/>
      <c r="D1508" s="245"/>
      <c r="E1508" s="245"/>
      <c r="F1508" s="245"/>
      <c r="G1508" s="245"/>
    </row>
    <row r="1509" spans="2:7" x14ac:dyDescent="0.25">
      <c r="B1509" s="246" t="s">
        <v>124</v>
      </c>
      <c r="C1509" s="247"/>
      <c r="D1509" s="247"/>
      <c r="E1509" s="247"/>
      <c r="F1509" s="247"/>
      <c r="G1509" s="248"/>
    </row>
    <row r="1510" spans="2:7" x14ac:dyDescent="0.25">
      <c r="B1510" s="54" t="s">
        <v>123</v>
      </c>
      <c r="C1510" s="103"/>
      <c r="D1510" s="245" t="s">
        <v>128</v>
      </c>
      <c r="E1510" s="245"/>
      <c r="F1510" s="245"/>
      <c r="G1510" s="245"/>
    </row>
    <row r="1513" spans="2:7" x14ac:dyDescent="0.25">
      <c r="B1513" s="100"/>
      <c r="C1513" s="100"/>
      <c r="D1513" s="100"/>
      <c r="E1513" s="100"/>
      <c r="F1513" s="100"/>
      <c r="G1513" s="100"/>
    </row>
    <row r="1514" spans="2:7" x14ac:dyDescent="0.25">
      <c r="B1514" s="100"/>
      <c r="C1514" s="250" t="s">
        <v>22</v>
      </c>
      <c r="D1514" s="250"/>
      <c r="E1514" s="42"/>
      <c r="F1514" s="100"/>
      <c r="G1514" s="100"/>
    </row>
    <row r="1515" spans="2:7" x14ac:dyDescent="0.25">
      <c r="B1515" s="100"/>
      <c r="C1515" s="251"/>
      <c r="D1515" s="251"/>
      <c r="E1515" s="100"/>
      <c r="F1515" s="43"/>
      <c r="G1515" s="100"/>
    </row>
    <row r="1516" spans="2:7" x14ac:dyDescent="0.25">
      <c r="B1516" s="100"/>
      <c r="C1516" s="27" t="s">
        <v>77</v>
      </c>
      <c r="D1516" s="41">
        <v>34</v>
      </c>
      <c r="E1516" s="104" t="s">
        <v>125</v>
      </c>
      <c r="F1516" s="56">
        <v>20</v>
      </c>
      <c r="G1516" s="100"/>
    </row>
    <row r="1517" spans="2:7" x14ac:dyDescent="0.25">
      <c r="B1517" s="100"/>
      <c r="C1517" s="29" t="s">
        <v>76</v>
      </c>
      <c r="D1517" s="102">
        <f>IFERROR(VLOOKUP(D1516,'DATOS REGISTRADOS'!B:Q,16,FALSE)," ")</f>
        <v>25</v>
      </c>
      <c r="E1517" s="30" t="s">
        <v>78</v>
      </c>
      <c r="F1517" s="31">
        <f ca="1">TODAY()</f>
        <v>44377</v>
      </c>
      <c r="G1517" s="100"/>
    </row>
    <row r="1518" spans="2:7" x14ac:dyDescent="0.25">
      <c r="B1518" s="256" t="s">
        <v>79</v>
      </c>
      <c r="C1518" s="256"/>
      <c r="D1518" s="256"/>
      <c r="E1518" s="256"/>
      <c r="F1518" s="256"/>
      <c r="G1518" s="256"/>
    </row>
    <row r="1519" spans="2:7" x14ac:dyDescent="0.25">
      <c r="B1519" s="104" t="s">
        <v>80</v>
      </c>
      <c r="C1519" s="257" t="str">
        <f>IFERROR(VLOOKUP(D1516,'DATOS REGISTRADOS'!B:C,2,FALSE)," ")</f>
        <v>Martina Pineda</v>
      </c>
      <c r="D1519" s="257"/>
      <c r="E1519" s="258"/>
      <c r="F1519" s="258"/>
      <c r="G1519" s="258"/>
    </row>
    <row r="1520" spans="2:7" x14ac:dyDescent="0.25">
      <c r="B1520" s="101" t="s">
        <v>81</v>
      </c>
      <c r="C1520" s="264" t="str">
        <f>IFERROR(VLOOKUP(D1516,'DATOS REGISTRADOS'!B:Q,3,FALSE)," ")</f>
        <v>Carolina #408 fraccionamiento los pinceles</v>
      </c>
      <c r="D1520" s="265"/>
      <c r="E1520" s="35" t="s">
        <v>82</v>
      </c>
      <c r="F1520" s="258">
        <f>IFERROR(VLOOKUP(D1516,'DATOS REGISTRADOS'!B:Q,7,FALSE)," ")</f>
        <v>8180713039</v>
      </c>
      <c r="G1520" s="258"/>
    </row>
    <row r="1521" spans="2:7" x14ac:dyDescent="0.25">
      <c r="B1521" s="100"/>
      <c r="C1521" s="243" t="str">
        <f>IFERROR(VLOOKUP(D1516,'DATOS REGISTRADOS'!B:Q,4,FALSE)," ")</f>
        <v>a una cuadra de smart hda margaritas</v>
      </c>
      <c r="D1521" s="244"/>
      <c r="E1521" s="100"/>
      <c r="F1521" s="100"/>
      <c r="G1521" s="100"/>
    </row>
    <row r="1522" spans="2:7" x14ac:dyDescent="0.25">
      <c r="B1522" s="100"/>
      <c r="C1522" s="66" t="str">
        <f>IFERROR(VLOOKUP(D1516,'DATOS REGISTRADOS'!B:Q,5,FALSE)," ")</f>
        <v>Apodaca N.L</v>
      </c>
      <c r="D1522" s="67">
        <f>IFERROR(VLOOKUP(D1516,'DATOS REGISTRADOS'!B:Q,6,FALSE)," ")</f>
        <v>66647</v>
      </c>
      <c r="E1522" s="100"/>
      <c r="F1522" s="100"/>
      <c r="G1522" s="100"/>
    </row>
    <row r="1523" spans="2:7" x14ac:dyDescent="0.25">
      <c r="B1523" s="256" t="s">
        <v>83</v>
      </c>
      <c r="C1523" s="262"/>
      <c r="D1523" s="262"/>
      <c r="E1523" s="256"/>
      <c r="F1523" s="256"/>
      <c r="G1523" s="256"/>
    </row>
    <row r="1524" spans="2:7" x14ac:dyDescent="0.25">
      <c r="B1524" s="104" t="s">
        <v>84</v>
      </c>
      <c r="C1524" s="249" t="s">
        <v>85</v>
      </c>
      <c r="D1524" s="249"/>
      <c r="E1524" s="104" t="s">
        <v>86</v>
      </c>
      <c r="F1524" s="104" t="s">
        <v>87</v>
      </c>
      <c r="G1524" s="104" t="s">
        <v>57</v>
      </c>
    </row>
    <row r="1525" spans="2:7" x14ac:dyDescent="0.25">
      <c r="B1525" s="41" t="s">
        <v>126</v>
      </c>
      <c r="C1525" s="241" t="str">
        <f>IFERROR(VLOOKUP(B1525,'Productos '!B:C,2,FALSE)," ")</f>
        <v>Recompra 1 Activador Celular</v>
      </c>
      <c r="D1525" s="242"/>
      <c r="E1525" s="41">
        <v>1</v>
      </c>
      <c r="F1525" s="40">
        <f>IFERROR(VLOOKUP(B1525,'Productos '!B:G,3,FALSE)," ")</f>
        <v>431.0344827586207</v>
      </c>
      <c r="G1525" s="40">
        <f>IFERROR((F1525*E1525)," ")</f>
        <v>431.0344827586207</v>
      </c>
    </row>
    <row r="1526" spans="2:7" x14ac:dyDescent="0.25">
      <c r="B1526" s="41" t="s">
        <v>321</v>
      </c>
      <c r="C1526" s="241" t="str">
        <f>IFERROR(VLOOKUP(B1526,'Productos '!B:C,2,FALSE)," ")</f>
        <v>Envio</v>
      </c>
      <c r="D1526" s="242"/>
      <c r="E1526" s="41">
        <v>1</v>
      </c>
      <c r="F1526" s="40">
        <f>IFERROR(VLOOKUP(B1526,'Productos '!B:G,3,FALSE)," ")</f>
        <v>103.44827586206897</v>
      </c>
      <c r="G1526" s="40">
        <f t="shared" ref="G1526:G1531" si="56">IFERROR((F1526*E1526)," ")</f>
        <v>103.44827586206897</v>
      </c>
    </row>
    <row r="1527" spans="2:7" x14ac:dyDescent="0.25">
      <c r="B1527" s="41"/>
      <c r="C1527" s="241" t="str">
        <f>IFERROR(VLOOKUP(B1527,'Productos '!B:C,2,FALSE)," ")</f>
        <v xml:space="preserve"> </v>
      </c>
      <c r="D1527" s="242"/>
      <c r="E1527" s="41"/>
      <c r="F1527" s="40" t="str">
        <f>IFERROR(VLOOKUP(B1527,'Productos '!B:G,3,FALSE)," ")</f>
        <v xml:space="preserve"> </v>
      </c>
      <c r="G1527" s="40" t="str">
        <f t="shared" si="56"/>
        <v xml:space="preserve"> </v>
      </c>
    </row>
    <row r="1528" spans="2:7" x14ac:dyDescent="0.25">
      <c r="B1528" s="41"/>
      <c r="C1528" s="241" t="str">
        <f>IFERROR(VLOOKUP(B1528,'Productos '!B:C,2,FALSE)," ")</f>
        <v xml:space="preserve"> </v>
      </c>
      <c r="D1528" s="242"/>
      <c r="E1528" s="41"/>
      <c r="F1528" s="40" t="str">
        <f>IFERROR(VLOOKUP(B1528,'Productos '!B:G,3,FALSE)," ")</f>
        <v xml:space="preserve"> </v>
      </c>
      <c r="G1528" s="40" t="str">
        <f t="shared" si="56"/>
        <v xml:space="preserve"> </v>
      </c>
    </row>
    <row r="1529" spans="2:7" x14ac:dyDescent="0.25">
      <c r="B1529" s="41"/>
      <c r="C1529" s="241" t="str">
        <f>IFERROR(VLOOKUP(B1529,'Productos '!B:C,2,FALSE)," ")</f>
        <v xml:space="preserve"> </v>
      </c>
      <c r="D1529" s="242"/>
      <c r="E1529" s="41"/>
      <c r="F1529" s="40" t="str">
        <f>IFERROR(VLOOKUP(B1529,'Productos '!B:G,3,FALSE)," ")</f>
        <v xml:space="preserve"> </v>
      </c>
      <c r="G1529" s="40" t="str">
        <f t="shared" si="56"/>
        <v xml:space="preserve"> </v>
      </c>
    </row>
    <row r="1530" spans="2:7" x14ac:dyDescent="0.25">
      <c r="B1530" s="41"/>
      <c r="C1530" s="241" t="str">
        <f>IFERROR(VLOOKUP(B1530,'Productos '!B:C,2,FALSE)," ")</f>
        <v xml:space="preserve"> </v>
      </c>
      <c r="D1530" s="242"/>
      <c r="E1530" s="41"/>
      <c r="F1530" s="40" t="str">
        <f>IFERROR(VLOOKUP(B1530,'Productos '!B:G,3,FALSE)," ")</f>
        <v xml:space="preserve"> </v>
      </c>
      <c r="G1530" s="40" t="str">
        <f t="shared" si="56"/>
        <v xml:space="preserve"> </v>
      </c>
    </row>
    <row r="1531" spans="2:7" x14ac:dyDescent="0.25">
      <c r="B1531" s="41"/>
      <c r="C1531" s="241" t="str">
        <f>IFERROR(VLOOKUP(B1531,'Productos '!B:C,2,FALSE)," ")</f>
        <v xml:space="preserve"> </v>
      </c>
      <c r="D1531" s="242"/>
      <c r="E1531" s="41"/>
      <c r="F1531" s="40" t="str">
        <f>IFERROR(VLOOKUP(B1531,'Productos '!B:G,3,FALSE)," ")</f>
        <v xml:space="preserve"> </v>
      </c>
      <c r="G1531" s="40" t="str">
        <f t="shared" si="56"/>
        <v xml:space="preserve"> </v>
      </c>
    </row>
    <row r="1532" spans="2:7" x14ac:dyDescent="0.25">
      <c r="B1532" s="100"/>
      <c r="C1532" s="253" t="s">
        <v>88</v>
      </c>
      <c r="D1532" s="254"/>
      <c r="E1532" s="38">
        <f>SUM(E1525:E1531)</f>
        <v>2</v>
      </c>
      <c r="F1532" s="104" t="s">
        <v>89</v>
      </c>
      <c r="G1532" s="40">
        <f>SUM(G1525:G1531)</f>
        <v>534.48275862068965</v>
      </c>
    </row>
    <row r="1533" spans="2:7" x14ac:dyDescent="0.25">
      <c r="B1533" s="100"/>
      <c r="C1533" s="100"/>
      <c r="D1533" s="100"/>
      <c r="E1533" s="100"/>
      <c r="F1533" s="104" t="s">
        <v>90</v>
      </c>
      <c r="G1533" s="40">
        <f>G1532*16%</f>
        <v>85.517241379310349</v>
      </c>
    </row>
    <row r="1534" spans="2:7" x14ac:dyDescent="0.25">
      <c r="B1534" s="104" t="s">
        <v>91</v>
      </c>
      <c r="C1534" s="241" t="str">
        <f>IFERROR(VLOOKUP(D1516,'DATOS REGISTRADOS'!B:R,17,FALSE)," ")</f>
        <v>María de los angeles Martínez Villareal</v>
      </c>
      <c r="D1534" s="252"/>
      <c r="E1534" s="242"/>
      <c r="F1534" s="104" t="s">
        <v>57</v>
      </c>
      <c r="G1534" s="68">
        <f>SUM(G1532:G1533)</f>
        <v>620</v>
      </c>
    </row>
    <row r="1535" spans="2:7" x14ac:dyDescent="0.25">
      <c r="B1535" s="245" t="s">
        <v>129</v>
      </c>
      <c r="C1535" s="245"/>
      <c r="D1535" s="245"/>
      <c r="E1535" s="245"/>
      <c r="F1535" s="245"/>
      <c r="G1535" s="245"/>
    </row>
    <row r="1536" spans="2:7" x14ac:dyDescent="0.25">
      <c r="B1536" s="246" t="s">
        <v>124</v>
      </c>
      <c r="C1536" s="247"/>
      <c r="D1536" s="247"/>
      <c r="E1536" s="247"/>
      <c r="F1536" s="247"/>
      <c r="G1536" s="248"/>
    </row>
    <row r="1537" spans="2:7" x14ac:dyDescent="0.25">
      <c r="B1537" s="54" t="s">
        <v>123</v>
      </c>
      <c r="C1537" s="103"/>
      <c r="D1537" s="245" t="s">
        <v>128</v>
      </c>
      <c r="E1537" s="245"/>
      <c r="F1537" s="245"/>
      <c r="G1537" s="245"/>
    </row>
    <row r="1540" spans="2:7" x14ac:dyDescent="0.25">
      <c r="B1540" s="100"/>
      <c r="C1540" s="100"/>
      <c r="D1540" s="100"/>
      <c r="E1540" s="100"/>
      <c r="F1540" s="100"/>
      <c r="G1540" s="100"/>
    </row>
    <row r="1541" spans="2:7" x14ac:dyDescent="0.25">
      <c r="B1541" s="100"/>
      <c r="C1541" s="250" t="s">
        <v>22</v>
      </c>
      <c r="D1541" s="250"/>
      <c r="E1541" s="42"/>
      <c r="F1541" s="100"/>
      <c r="G1541" s="100"/>
    </row>
    <row r="1542" spans="2:7" x14ac:dyDescent="0.25">
      <c r="B1542" s="100"/>
      <c r="C1542" s="251"/>
      <c r="D1542" s="251"/>
      <c r="E1542" s="100"/>
      <c r="F1542" s="43"/>
      <c r="G1542" s="100"/>
    </row>
    <row r="1543" spans="2:7" x14ac:dyDescent="0.25">
      <c r="B1543" s="100"/>
      <c r="C1543" s="27" t="s">
        <v>77</v>
      </c>
      <c r="D1543" s="41">
        <v>42</v>
      </c>
      <c r="E1543" s="104" t="s">
        <v>125</v>
      </c>
      <c r="F1543" s="56">
        <v>19</v>
      </c>
      <c r="G1543" s="100"/>
    </row>
    <row r="1544" spans="2:7" x14ac:dyDescent="0.25">
      <c r="B1544" s="100"/>
      <c r="C1544" s="29" t="s">
        <v>76</v>
      </c>
      <c r="D1544" s="102">
        <f>IFERROR(VLOOKUP(D1543,'DATOS REGISTRADOS'!B:Q,16,FALSE)," ")</f>
        <v>32</v>
      </c>
      <c r="E1544" s="30" t="s">
        <v>78</v>
      </c>
      <c r="F1544" s="31">
        <f ca="1">TODAY()</f>
        <v>44377</v>
      </c>
      <c r="G1544" s="100"/>
    </row>
    <row r="1545" spans="2:7" x14ac:dyDescent="0.25">
      <c r="B1545" s="256" t="s">
        <v>79</v>
      </c>
      <c r="C1545" s="256"/>
      <c r="D1545" s="256"/>
      <c r="E1545" s="256"/>
      <c r="F1545" s="256"/>
      <c r="G1545" s="256"/>
    </row>
    <row r="1546" spans="2:7" x14ac:dyDescent="0.25">
      <c r="B1546" s="104" t="s">
        <v>80</v>
      </c>
      <c r="C1546" s="257" t="str">
        <f>IFERROR(VLOOKUP(D1543,'DATOS REGISTRADOS'!B:C,2,FALSE)," ")</f>
        <v>Martin Valentin Lazaro</v>
      </c>
      <c r="D1546" s="257"/>
      <c r="E1546" s="258"/>
      <c r="F1546" s="258"/>
      <c r="G1546" s="258"/>
    </row>
    <row r="1547" spans="2:7" x14ac:dyDescent="0.25">
      <c r="B1547" s="101" t="s">
        <v>81</v>
      </c>
      <c r="C1547" s="264" t="str">
        <f>IFERROR(VLOOKUP(D1543,'DATOS REGISTRADOS'!B:Q,3,FALSE)," ")</f>
        <v>M.M del llano# 1507 ote. entre julian villareal y heroes del 47</v>
      </c>
      <c r="D1547" s="265"/>
      <c r="E1547" s="35" t="s">
        <v>82</v>
      </c>
      <c r="F1547" s="258">
        <f>IFERROR(VLOOKUP(D1543,'DATOS REGISTRADOS'!B:Q,7,FALSE)," ")</f>
        <v>0</v>
      </c>
      <c r="G1547" s="258"/>
    </row>
    <row r="1548" spans="2:7" x14ac:dyDescent="0.25">
      <c r="B1548" s="100"/>
      <c r="C1548" s="243" t="str">
        <f>IFERROR(VLOOKUP(D1543,'DATOS REGISTRADOS'!B:Q,4,FALSE)," ")</f>
        <v xml:space="preserve"> col.centro, Apodaca</v>
      </c>
      <c r="D1548" s="244"/>
      <c r="E1548" s="100"/>
      <c r="F1548" s="100"/>
      <c r="G1548" s="100"/>
    </row>
    <row r="1549" spans="2:7" x14ac:dyDescent="0.25">
      <c r="B1549" s="100"/>
      <c r="C1549" s="66" t="str">
        <f>IFERROR(VLOOKUP(D1543,'DATOS REGISTRADOS'!B:Q,5,FALSE)," ")</f>
        <v>NL</v>
      </c>
      <c r="D1549" s="67">
        <f>IFERROR(VLOOKUP(D1543,'DATOS REGISTRADOS'!B:Q,6,FALSE)," ")</f>
        <v>64000</v>
      </c>
      <c r="E1549" s="100"/>
      <c r="F1549" s="100"/>
      <c r="G1549" s="100"/>
    </row>
    <row r="1550" spans="2:7" x14ac:dyDescent="0.25">
      <c r="B1550" s="256" t="s">
        <v>83</v>
      </c>
      <c r="C1550" s="262"/>
      <c r="D1550" s="262"/>
      <c r="E1550" s="256"/>
      <c r="F1550" s="256"/>
      <c r="G1550" s="256"/>
    </row>
    <row r="1551" spans="2:7" x14ac:dyDescent="0.25">
      <c r="B1551" s="104" t="s">
        <v>84</v>
      </c>
      <c r="C1551" s="249" t="s">
        <v>85</v>
      </c>
      <c r="D1551" s="249"/>
      <c r="E1551" s="104" t="s">
        <v>86</v>
      </c>
      <c r="F1551" s="104" t="s">
        <v>87</v>
      </c>
      <c r="G1551" s="104" t="s">
        <v>57</v>
      </c>
    </row>
    <row r="1552" spans="2:7" x14ac:dyDescent="0.25">
      <c r="B1552" s="41" t="s">
        <v>322</v>
      </c>
      <c r="C1552" s="241" t="str">
        <f>IFERROR(VLOOKUP(B1552,'Productos '!B:C,2,FALSE)," ")</f>
        <v>Bono MAYORISTA 12 productos</v>
      </c>
      <c r="D1552" s="242"/>
      <c r="E1552" s="41">
        <v>1</v>
      </c>
      <c r="F1552" s="40">
        <f>IFERROR(VLOOKUP(B1552,'Productos '!B:G,3,FALSE)," ")</f>
        <v>4310.3448275862065</v>
      </c>
      <c r="G1552" s="40">
        <f>IFERROR((F1552*E1552)," ")</f>
        <v>4310.3448275862065</v>
      </c>
    </row>
    <row r="1553" spans="2:7" x14ac:dyDescent="0.25">
      <c r="B1553" s="41" t="s">
        <v>321</v>
      </c>
      <c r="C1553" s="241" t="str">
        <f>IFERROR(VLOOKUP(B1553,'Productos '!B:C,2,FALSE)," ")</f>
        <v>Envio</v>
      </c>
      <c r="D1553" s="242"/>
      <c r="E1553" s="41">
        <v>2</v>
      </c>
      <c r="F1553" s="40">
        <f>IFERROR(VLOOKUP(B1553,'Productos '!B:G,3,FALSE)," ")</f>
        <v>103.44827586206897</v>
      </c>
      <c r="G1553" s="40">
        <f t="shared" ref="G1553:G1558" si="57">IFERROR((F1553*E1553)," ")</f>
        <v>206.89655172413794</v>
      </c>
    </row>
    <row r="1554" spans="2:7" x14ac:dyDescent="0.25">
      <c r="B1554" s="41"/>
      <c r="C1554" s="241" t="str">
        <f>IFERROR(VLOOKUP(B1554,'Productos '!B:C,2,FALSE)," ")</f>
        <v xml:space="preserve"> </v>
      </c>
      <c r="D1554" s="242"/>
      <c r="E1554" s="41"/>
      <c r="F1554" s="40" t="str">
        <f>IFERROR(VLOOKUP(B1554,'Productos '!B:G,3,FALSE)," ")</f>
        <v xml:space="preserve"> </v>
      </c>
      <c r="G1554" s="40" t="str">
        <f t="shared" si="57"/>
        <v xml:space="preserve"> </v>
      </c>
    </row>
    <row r="1555" spans="2:7" x14ac:dyDescent="0.25">
      <c r="B1555" s="41"/>
      <c r="C1555" s="241" t="str">
        <f>IFERROR(VLOOKUP(B1555,'Productos '!B:C,2,FALSE)," ")</f>
        <v xml:space="preserve"> </v>
      </c>
      <c r="D1555" s="242"/>
      <c r="E1555" s="41"/>
      <c r="F1555" s="40" t="str">
        <f>IFERROR(VLOOKUP(B1555,'Productos '!B:G,3,FALSE)," ")</f>
        <v xml:space="preserve"> </v>
      </c>
      <c r="G1555" s="40" t="str">
        <f t="shared" si="57"/>
        <v xml:space="preserve"> </v>
      </c>
    </row>
    <row r="1556" spans="2:7" x14ac:dyDescent="0.25">
      <c r="B1556" s="41"/>
      <c r="C1556" s="241" t="str">
        <f>IFERROR(VLOOKUP(B1556,'Productos '!B:C,2,FALSE)," ")</f>
        <v xml:space="preserve"> </v>
      </c>
      <c r="D1556" s="242"/>
      <c r="E1556" s="41"/>
      <c r="F1556" s="40" t="str">
        <f>IFERROR(VLOOKUP(B1556,'Productos '!B:G,3,FALSE)," ")</f>
        <v xml:space="preserve"> </v>
      </c>
      <c r="G1556" s="40" t="str">
        <f t="shared" si="57"/>
        <v xml:space="preserve"> </v>
      </c>
    </row>
    <row r="1557" spans="2:7" x14ac:dyDescent="0.25">
      <c r="B1557" s="41"/>
      <c r="C1557" s="241" t="str">
        <f>IFERROR(VLOOKUP(B1557,'Productos '!B:C,2,FALSE)," ")</f>
        <v xml:space="preserve"> </v>
      </c>
      <c r="D1557" s="242"/>
      <c r="E1557" s="41"/>
      <c r="F1557" s="40" t="str">
        <f>IFERROR(VLOOKUP(B1557,'Productos '!B:G,3,FALSE)," ")</f>
        <v xml:space="preserve"> </v>
      </c>
      <c r="G1557" s="40" t="str">
        <f t="shared" si="57"/>
        <v xml:space="preserve"> </v>
      </c>
    </row>
    <row r="1558" spans="2:7" x14ac:dyDescent="0.25">
      <c r="B1558" s="41"/>
      <c r="C1558" s="241" t="str">
        <f>IFERROR(VLOOKUP(B1558,'Productos '!B:C,2,FALSE)," ")</f>
        <v xml:space="preserve"> </v>
      </c>
      <c r="D1558" s="242"/>
      <c r="E1558" s="41"/>
      <c r="F1558" s="40" t="str">
        <f>IFERROR(VLOOKUP(B1558,'Productos '!B:G,3,FALSE)," ")</f>
        <v xml:space="preserve"> </v>
      </c>
      <c r="G1558" s="40" t="str">
        <f t="shared" si="57"/>
        <v xml:space="preserve"> </v>
      </c>
    </row>
    <row r="1559" spans="2:7" x14ac:dyDescent="0.25">
      <c r="B1559" s="100"/>
      <c r="C1559" s="253" t="s">
        <v>88</v>
      </c>
      <c r="D1559" s="254"/>
      <c r="E1559" s="38">
        <f>SUM(E1552:E1558)</f>
        <v>3</v>
      </c>
      <c r="F1559" s="104" t="s">
        <v>89</v>
      </c>
      <c r="G1559" s="40">
        <f>SUM(G1552:G1558)</f>
        <v>4517.2413793103442</v>
      </c>
    </row>
    <row r="1560" spans="2:7" x14ac:dyDescent="0.25">
      <c r="B1560" s="100"/>
      <c r="C1560" s="100"/>
      <c r="D1560" s="100"/>
      <c r="E1560" s="100"/>
      <c r="F1560" s="104" t="s">
        <v>90</v>
      </c>
      <c r="G1560" s="40">
        <f>G1559*16%</f>
        <v>722.75862068965512</v>
      </c>
    </row>
    <row r="1561" spans="2:7" x14ac:dyDescent="0.25">
      <c r="B1561" s="104" t="s">
        <v>91</v>
      </c>
      <c r="C1561" s="241" t="str">
        <f>IFERROR(VLOOKUP(D1543,'DATOS REGISTRADOS'!B:R,17,FALSE)," ")</f>
        <v>Teresa Rivera Cortez</v>
      </c>
      <c r="D1561" s="252"/>
      <c r="E1561" s="242"/>
      <c r="F1561" s="104" t="s">
        <v>57</v>
      </c>
      <c r="G1561" s="68">
        <f>SUM(G1559:G1560)</f>
        <v>5239.9999999999991</v>
      </c>
    </row>
    <row r="1562" spans="2:7" x14ac:dyDescent="0.25">
      <c r="B1562" s="245" t="s">
        <v>129</v>
      </c>
      <c r="C1562" s="245"/>
      <c r="D1562" s="245"/>
      <c r="E1562" s="245"/>
      <c r="F1562" s="245"/>
      <c r="G1562" s="245"/>
    </row>
    <row r="1563" spans="2:7" x14ac:dyDescent="0.25">
      <c r="B1563" s="246" t="s">
        <v>124</v>
      </c>
      <c r="C1563" s="247"/>
      <c r="D1563" s="247"/>
      <c r="E1563" s="247"/>
      <c r="F1563" s="247"/>
      <c r="G1563" s="248"/>
    </row>
    <row r="1564" spans="2:7" x14ac:dyDescent="0.25">
      <c r="B1564" s="54" t="s">
        <v>123</v>
      </c>
      <c r="C1564" s="103"/>
      <c r="D1564" s="245" t="s">
        <v>128</v>
      </c>
      <c r="E1564" s="245"/>
      <c r="F1564" s="245"/>
      <c r="G1564" s="245"/>
    </row>
    <row r="1567" spans="2:7" x14ac:dyDescent="0.25">
      <c r="B1567" s="100"/>
      <c r="C1567" s="100"/>
      <c r="D1567" s="100"/>
      <c r="E1567" s="100"/>
      <c r="F1567" s="100"/>
      <c r="G1567" s="100"/>
    </row>
    <row r="1568" spans="2:7" x14ac:dyDescent="0.25">
      <c r="B1568" s="100"/>
      <c r="C1568" s="250" t="s">
        <v>22</v>
      </c>
      <c r="D1568" s="250"/>
      <c r="E1568" s="42"/>
      <c r="F1568" s="100"/>
      <c r="G1568" s="100"/>
    </row>
    <row r="1569" spans="2:7" x14ac:dyDescent="0.25">
      <c r="B1569" s="100"/>
      <c r="C1569" s="251"/>
      <c r="D1569" s="251"/>
      <c r="E1569" s="100"/>
      <c r="F1569" s="43"/>
      <c r="G1569" s="100"/>
    </row>
    <row r="1570" spans="2:7" x14ac:dyDescent="0.25">
      <c r="B1570" s="100"/>
      <c r="C1570" s="27" t="s">
        <v>77</v>
      </c>
      <c r="D1570" s="41"/>
      <c r="E1570" s="104" t="s">
        <v>125</v>
      </c>
      <c r="F1570" s="56">
        <v>18</v>
      </c>
      <c r="G1570" s="100"/>
    </row>
    <row r="1571" spans="2:7" x14ac:dyDescent="0.25">
      <c r="B1571" s="100"/>
      <c r="C1571" s="29" t="s">
        <v>76</v>
      </c>
      <c r="D1571" s="102" t="str">
        <f>IFERROR(VLOOKUP(D1570,'DATOS REGISTRADOS'!B:Q,16,FALSE)," ")</f>
        <v xml:space="preserve"> </v>
      </c>
      <c r="E1571" s="30" t="s">
        <v>78</v>
      </c>
      <c r="F1571" s="31">
        <f ca="1">TODAY()</f>
        <v>44377</v>
      </c>
      <c r="G1571" s="100"/>
    </row>
    <row r="1572" spans="2:7" x14ac:dyDescent="0.25">
      <c r="B1572" s="256" t="s">
        <v>79</v>
      </c>
      <c r="C1572" s="256"/>
      <c r="D1572" s="256"/>
      <c r="E1572" s="256"/>
      <c r="F1572" s="256"/>
      <c r="G1572" s="256"/>
    </row>
    <row r="1573" spans="2:7" x14ac:dyDescent="0.25">
      <c r="B1573" s="104" t="s">
        <v>80</v>
      </c>
      <c r="C1573" s="257" t="str">
        <f>IFERROR(VLOOKUP(D1570,'DATOS REGISTRADOS'!B:C,2,FALSE)," ")</f>
        <v xml:space="preserve"> </v>
      </c>
      <c r="D1573" s="257"/>
      <c r="E1573" s="258"/>
      <c r="F1573" s="258"/>
      <c r="G1573" s="258"/>
    </row>
    <row r="1574" spans="2:7" x14ac:dyDescent="0.25">
      <c r="B1574" s="101" t="s">
        <v>81</v>
      </c>
      <c r="C1574" s="264" t="str">
        <f>IFERROR(VLOOKUP(D1570,'DATOS REGISTRADOS'!B:Q,3,FALSE)," ")</f>
        <v xml:space="preserve"> </v>
      </c>
      <c r="D1574" s="265"/>
      <c r="E1574" s="35" t="s">
        <v>82</v>
      </c>
      <c r="F1574" s="258" t="str">
        <f>IFERROR(VLOOKUP(D1570,'DATOS REGISTRADOS'!B:Q,7,FALSE)," ")</f>
        <v xml:space="preserve"> </v>
      </c>
      <c r="G1574" s="258"/>
    </row>
    <row r="1575" spans="2:7" x14ac:dyDescent="0.25">
      <c r="B1575" s="100"/>
      <c r="C1575" s="243" t="str">
        <f>IFERROR(VLOOKUP(D1570,'DATOS REGISTRADOS'!B:Q,4,FALSE)," ")</f>
        <v xml:space="preserve"> </v>
      </c>
      <c r="D1575" s="244"/>
      <c r="E1575" s="100"/>
      <c r="F1575" s="100"/>
      <c r="G1575" s="100"/>
    </row>
    <row r="1576" spans="2:7" x14ac:dyDescent="0.25">
      <c r="B1576" s="100"/>
      <c r="C1576" s="66" t="str">
        <f>IFERROR(VLOOKUP(D1570,'DATOS REGISTRADOS'!B:Q,5,FALSE)," ")</f>
        <v xml:space="preserve"> </v>
      </c>
      <c r="D1576" s="67" t="str">
        <f>IFERROR(VLOOKUP(D1570,'DATOS REGISTRADOS'!B:Q,6,FALSE)," ")</f>
        <v xml:space="preserve"> </v>
      </c>
      <c r="E1576" s="100"/>
      <c r="F1576" s="100"/>
      <c r="G1576" s="100"/>
    </row>
    <row r="1577" spans="2:7" x14ac:dyDescent="0.25">
      <c r="B1577" s="256" t="s">
        <v>83</v>
      </c>
      <c r="C1577" s="262"/>
      <c r="D1577" s="262"/>
      <c r="E1577" s="256"/>
      <c r="F1577" s="256"/>
      <c r="G1577" s="256"/>
    </row>
    <row r="1578" spans="2:7" x14ac:dyDescent="0.25">
      <c r="B1578" s="104" t="s">
        <v>84</v>
      </c>
      <c r="C1578" s="249" t="s">
        <v>85</v>
      </c>
      <c r="D1578" s="249"/>
      <c r="E1578" s="104" t="s">
        <v>86</v>
      </c>
      <c r="F1578" s="104" t="s">
        <v>87</v>
      </c>
      <c r="G1578" s="104" t="s">
        <v>57</v>
      </c>
    </row>
    <row r="1579" spans="2:7" x14ac:dyDescent="0.25">
      <c r="B1579" s="41" t="s">
        <v>322</v>
      </c>
      <c r="C1579" s="241" t="str">
        <f>IFERROR(VLOOKUP(B1579,'Productos '!B:C,2,FALSE)," ")</f>
        <v>Bono MAYORISTA 12 productos</v>
      </c>
      <c r="D1579" s="242"/>
      <c r="E1579" s="41">
        <v>1</v>
      </c>
      <c r="F1579" s="40">
        <f>IFERROR(VLOOKUP(B1579,'Productos '!B:G,3,FALSE)," ")</f>
        <v>4310.3448275862065</v>
      </c>
      <c r="G1579" s="40">
        <f>IFERROR((F1579*E1579)," ")</f>
        <v>4310.3448275862065</v>
      </c>
    </row>
    <row r="1580" spans="2:7" x14ac:dyDescent="0.25">
      <c r="B1580" s="41" t="s">
        <v>321</v>
      </c>
      <c r="C1580" s="241" t="str">
        <f>IFERROR(VLOOKUP(B1580,'Productos '!B:C,2,FALSE)," ")</f>
        <v>Envio</v>
      </c>
      <c r="D1580" s="242"/>
      <c r="E1580" s="41">
        <v>2</v>
      </c>
      <c r="F1580" s="40">
        <f>IFERROR(VLOOKUP(B1580,'Productos '!B:G,3,FALSE)," ")</f>
        <v>103.44827586206897</v>
      </c>
      <c r="G1580" s="40">
        <f t="shared" ref="G1580:G1585" si="58">IFERROR((F1580*E1580)," ")</f>
        <v>206.89655172413794</v>
      </c>
    </row>
    <row r="1581" spans="2:7" x14ac:dyDescent="0.25">
      <c r="B1581" s="41"/>
      <c r="C1581" s="241" t="str">
        <f>IFERROR(VLOOKUP(B1581,'Productos '!B:C,2,FALSE)," ")</f>
        <v xml:space="preserve"> </v>
      </c>
      <c r="D1581" s="242"/>
      <c r="E1581" s="41"/>
      <c r="F1581" s="40" t="str">
        <f>IFERROR(VLOOKUP(B1581,'Productos '!B:G,3,FALSE)," ")</f>
        <v xml:space="preserve"> </v>
      </c>
      <c r="G1581" s="40" t="str">
        <f t="shared" si="58"/>
        <v xml:space="preserve"> </v>
      </c>
    </row>
    <row r="1582" spans="2:7" x14ac:dyDescent="0.25">
      <c r="B1582" s="41"/>
      <c r="C1582" s="241" t="str">
        <f>IFERROR(VLOOKUP(B1582,'Productos '!B:C,2,FALSE)," ")</f>
        <v xml:space="preserve"> </v>
      </c>
      <c r="D1582" s="242"/>
      <c r="E1582" s="41"/>
      <c r="F1582" s="40" t="str">
        <f>IFERROR(VLOOKUP(B1582,'Productos '!B:G,3,FALSE)," ")</f>
        <v xml:space="preserve"> </v>
      </c>
      <c r="G1582" s="40" t="str">
        <f t="shared" si="58"/>
        <v xml:space="preserve"> </v>
      </c>
    </row>
    <row r="1583" spans="2:7" x14ac:dyDescent="0.25">
      <c r="B1583" s="41"/>
      <c r="C1583" s="241" t="str">
        <f>IFERROR(VLOOKUP(B1583,'Productos '!B:C,2,FALSE)," ")</f>
        <v xml:space="preserve"> </v>
      </c>
      <c r="D1583" s="242"/>
      <c r="E1583" s="41"/>
      <c r="F1583" s="40" t="str">
        <f>IFERROR(VLOOKUP(B1583,'Productos '!B:G,3,FALSE)," ")</f>
        <v xml:space="preserve"> </v>
      </c>
      <c r="G1583" s="40" t="str">
        <f t="shared" si="58"/>
        <v xml:space="preserve"> </v>
      </c>
    </row>
    <row r="1584" spans="2:7" x14ac:dyDescent="0.25">
      <c r="B1584" s="41"/>
      <c r="C1584" s="241" t="str">
        <f>IFERROR(VLOOKUP(B1584,'Productos '!B:C,2,FALSE)," ")</f>
        <v xml:space="preserve"> </v>
      </c>
      <c r="D1584" s="242"/>
      <c r="E1584" s="41"/>
      <c r="F1584" s="40" t="str">
        <f>IFERROR(VLOOKUP(B1584,'Productos '!B:G,3,FALSE)," ")</f>
        <v xml:space="preserve"> </v>
      </c>
      <c r="G1584" s="40" t="str">
        <f t="shared" si="58"/>
        <v xml:space="preserve"> </v>
      </c>
    </row>
    <row r="1585" spans="2:7" x14ac:dyDescent="0.25">
      <c r="B1585" s="41"/>
      <c r="C1585" s="241" t="str">
        <f>IFERROR(VLOOKUP(B1585,'Productos '!B:C,2,FALSE)," ")</f>
        <v xml:space="preserve"> </v>
      </c>
      <c r="D1585" s="242"/>
      <c r="E1585" s="41"/>
      <c r="F1585" s="40" t="str">
        <f>IFERROR(VLOOKUP(B1585,'Productos '!B:G,3,FALSE)," ")</f>
        <v xml:space="preserve"> </v>
      </c>
      <c r="G1585" s="40" t="str">
        <f t="shared" si="58"/>
        <v xml:space="preserve"> </v>
      </c>
    </row>
    <row r="1586" spans="2:7" x14ac:dyDescent="0.25">
      <c r="B1586" s="100"/>
      <c r="C1586" s="253" t="s">
        <v>88</v>
      </c>
      <c r="D1586" s="254"/>
      <c r="E1586" s="38">
        <f>SUM(E1579:E1585)</f>
        <v>3</v>
      </c>
      <c r="F1586" s="104" t="s">
        <v>89</v>
      </c>
      <c r="G1586" s="40">
        <f>SUM(G1579:G1585)</f>
        <v>4517.2413793103442</v>
      </c>
    </row>
    <row r="1587" spans="2:7" x14ac:dyDescent="0.25">
      <c r="B1587" s="100"/>
      <c r="C1587" s="100"/>
      <c r="D1587" s="100"/>
      <c r="E1587" s="100"/>
      <c r="F1587" s="104" t="s">
        <v>90</v>
      </c>
      <c r="G1587" s="40">
        <f>G1586*16%</f>
        <v>722.75862068965512</v>
      </c>
    </row>
    <row r="1588" spans="2:7" x14ac:dyDescent="0.25">
      <c r="B1588" s="104" t="s">
        <v>91</v>
      </c>
      <c r="C1588" s="241" t="str">
        <f>IFERROR(VLOOKUP(D1570,'DATOS REGISTRADOS'!B:R,17,FALSE)," ")</f>
        <v xml:space="preserve"> </v>
      </c>
      <c r="D1588" s="252"/>
      <c r="E1588" s="242"/>
      <c r="F1588" s="104" t="s">
        <v>57</v>
      </c>
      <c r="G1588" s="68">
        <f>SUM(G1586:G1587)</f>
        <v>5239.9999999999991</v>
      </c>
    </row>
    <row r="1589" spans="2:7" x14ac:dyDescent="0.25">
      <c r="B1589" s="245" t="s">
        <v>129</v>
      </c>
      <c r="C1589" s="245"/>
      <c r="D1589" s="245"/>
      <c r="E1589" s="245"/>
      <c r="F1589" s="245"/>
      <c r="G1589" s="245"/>
    </row>
    <row r="1590" spans="2:7" x14ac:dyDescent="0.25">
      <c r="B1590" s="246" t="s">
        <v>124</v>
      </c>
      <c r="C1590" s="247"/>
      <c r="D1590" s="247"/>
      <c r="E1590" s="247"/>
      <c r="F1590" s="247"/>
      <c r="G1590" s="248"/>
    </row>
    <row r="1591" spans="2:7" x14ac:dyDescent="0.25">
      <c r="B1591" s="54" t="s">
        <v>123</v>
      </c>
      <c r="C1591" s="103"/>
      <c r="D1591" s="245" t="s">
        <v>128</v>
      </c>
      <c r="E1591" s="245"/>
      <c r="F1591" s="245"/>
      <c r="G1591" s="245"/>
    </row>
    <row r="1594" spans="2:7" x14ac:dyDescent="0.25">
      <c r="B1594" s="100"/>
      <c r="C1594" s="100"/>
      <c r="D1594" s="100"/>
      <c r="E1594" s="100"/>
      <c r="F1594" s="100"/>
      <c r="G1594" s="100"/>
    </row>
    <row r="1595" spans="2:7" x14ac:dyDescent="0.25">
      <c r="B1595" s="100"/>
      <c r="C1595" s="250" t="s">
        <v>22</v>
      </c>
      <c r="D1595" s="250"/>
      <c r="E1595" s="42"/>
      <c r="F1595" s="100"/>
      <c r="G1595" s="100"/>
    </row>
    <row r="1596" spans="2:7" x14ac:dyDescent="0.25">
      <c r="B1596" s="100"/>
      <c r="C1596" s="251"/>
      <c r="D1596" s="251"/>
      <c r="E1596" s="100"/>
      <c r="F1596" s="43"/>
      <c r="G1596" s="100"/>
    </row>
    <row r="1597" spans="2:7" x14ac:dyDescent="0.25">
      <c r="B1597" s="100"/>
      <c r="C1597" s="27" t="s">
        <v>77</v>
      </c>
      <c r="D1597" s="41"/>
      <c r="E1597" s="104" t="s">
        <v>125</v>
      </c>
      <c r="F1597" s="56">
        <v>17</v>
      </c>
      <c r="G1597" s="100"/>
    </row>
    <row r="1598" spans="2:7" x14ac:dyDescent="0.25">
      <c r="B1598" s="100"/>
      <c r="C1598" s="29" t="s">
        <v>76</v>
      </c>
      <c r="D1598" s="102" t="str">
        <f>IFERROR(VLOOKUP(D1597,'DATOS REGISTRADOS'!B:Q,16,FALSE)," ")</f>
        <v xml:space="preserve"> </v>
      </c>
      <c r="E1598" s="30" t="s">
        <v>78</v>
      </c>
      <c r="F1598" s="31">
        <f ca="1">TODAY()</f>
        <v>44377</v>
      </c>
      <c r="G1598" s="100"/>
    </row>
    <row r="1599" spans="2:7" x14ac:dyDescent="0.25">
      <c r="B1599" s="256" t="s">
        <v>79</v>
      </c>
      <c r="C1599" s="256"/>
      <c r="D1599" s="256"/>
      <c r="E1599" s="256"/>
      <c r="F1599" s="256"/>
      <c r="G1599" s="256"/>
    </row>
    <row r="1600" spans="2:7" x14ac:dyDescent="0.25">
      <c r="B1600" s="104" t="s">
        <v>80</v>
      </c>
      <c r="C1600" s="257" t="str">
        <f>IFERROR(VLOOKUP(D1597,'DATOS REGISTRADOS'!B:C,2,FALSE)," ")</f>
        <v xml:space="preserve"> </v>
      </c>
      <c r="D1600" s="257"/>
      <c r="E1600" s="258"/>
      <c r="F1600" s="258"/>
      <c r="G1600" s="258"/>
    </row>
    <row r="1601" spans="2:7" x14ac:dyDescent="0.25">
      <c r="B1601" s="101" t="s">
        <v>81</v>
      </c>
      <c r="C1601" s="264" t="str">
        <f>IFERROR(VLOOKUP(D1597,'DATOS REGISTRADOS'!B:Q,3,FALSE)," ")</f>
        <v xml:space="preserve"> </v>
      </c>
      <c r="D1601" s="265"/>
      <c r="E1601" s="35" t="s">
        <v>82</v>
      </c>
      <c r="F1601" s="258" t="str">
        <f>IFERROR(VLOOKUP(D1597,'DATOS REGISTRADOS'!B:Q,7,FALSE)," ")</f>
        <v xml:space="preserve"> </v>
      </c>
      <c r="G1601" s="258"/>
    </row>
    <row r="1602" spans="2:7" x14ac:dyDescent="0.25">
      <c r="B1602" s="100"/>
      <c r="C1602" s="243" t="str">
        <f>IFERROR(VLOOKUP(D1597,'DATOS REGISTRADOS'!B:Q,4,FALSE)," ")</f>
        <v xml:space="preserve"> </v>
      </c>
      <c r="D1602" s="244"/>
      <c r="E1602" s="100"/>
      <c r="F1602" s="100"/>
      <c r="G1602" s="100"/>
    </row>
    <row r="1603" spans="2:7" x14ac:dyDescent="0.25">
      <c r="B1603" s="100"/>
      <c r="C1603" s="66" t="str">
        <f>IFERROR(VLOOKUP(D1597,'DATOS REGISTRADOS'!B:Q,5,FALSE)," ")</f>
        <v xml:space="preserve"> </v>
      </c>
      <c r="D1603" s="67" t="str">
        <f>IFERROR(VLOOKUP(D1597,'DATOS REGISTRADOS'!B:Q,6,FALSE)," ")</f>
        <v xml:space="preserve"> </v>
      </c>
      <c r="E1603" s="100"/>
      <c r="F1603" s="100"/>
      <c r="G1603" s="100"/>
    </row>
    <row r="1604" spans="2:7" x14ac:dyDescent="0.25">
      <c r="B1604" s="256" t="s">
        <v>83</v>
      </c>
      <c r="C1604" s="262"/>
      <c r="D1604" s="262"/>
      <c r="E1604" s="256"/>
      <c r="F1604" s="256"/>
      <c r="G1604" s="256"/>
    </row>
    <row r="1605" spans="2:7" x14ac:dyDescent="0.25">
      <c r="B1605" s="104" t="s">
        <v>84</v>
      </c>
      <c r="C1605" s="249" t="s">
        <v>85</v>
      </c>
      <c r="D1605" s="249"/>
      <c r="E1605" s="104" t="s">
        <v>86</v>
      </c>
      <c r="F1605" s="104" t="s">
        <v>87</v>
      </c>
      <c r="G1605" s="104" t="s">
        <v>57</v>
      </c>
    </row>
    <row r="1606" spans="2:7" x14ac:dyDescent="0.25">
      <c r="B1606" s="41"/>
      <c r="C1606" s="241" t="str">
        <f>IFERROR(VLOOKUP(B1606,'Productos '!B:C,2,FALSE)," ")</f>
        <v xml:space="preserve"> </v>
      </c>
      <c r="D1606" s="242"/>
      <c r="E1606" s="41"/>
      <c r="F1606" s="40" t="str">
        <f>IFERROR(VLOOKUP(B1606,'Productos '!B:G,3,FALSE)," ")</f>
        <v xml:space="preserve"> </v>
      </c>
      <c r="G1606" s="40" t="str">
        <f>IFERROR((F1606*E1606)," ")</f>
        <v xml:space="preserve"> </v>
      </c>
    </row>
    <row r="1607" spans="2:7" x14ac:dyDescent="0.25">
      <c r="B1607" s="41"/>
      <c r="C1607" s="241" t="str">
        <f>IFERROR(VLOOKUP(B1607,'Productos '!B:C,2,FALSE)," ")</f>
        <v xml:space="preserve"> </v>
      </c>
      <c r="D1607" s="242"/>
      <c r="E1607" s="41"/>
      <c r="F1607" s="40" t="str">
        <f>IFERROR(VLOOKUP(B1607,'Productos '!B:G,3,FALSE)," ")</f>
        <v xml:space="preserve"> </v>
      </c>
      <c r="G1607" s="40" t="str">
        <f t="shared" ref="G1607:G1612" si="59">IFERROR((F1607*E1607)," ")</f>
        <v xml:space="preserve"> </v>
      </c>
    </row>
    <row r="1608" spans="2:7" x14ac:dyDescent="0.25">
      <c r="B1608" s="41"/>
      <c r="C1608" s="241" t="str">
        <f>IFERROR(VLOOKUP(B1608,'Productos '!B:C,2,FALSE)," ")</f>
        <v xml:space="preserve"> </v>
      </c>
      <c r="D1608" s="242"/>
      <c r="E1608" s="41"/>
      <c r="F1608" s="40" t="str">
        <f>IFERROR(VLOOKUP(B1608,'Productos '!B:G,3,FALSE)," ")</f>
        <v xml:space="preserve"> </v>
      </c>
      <c r="G1608" s="40" t="str">
        <f t="shared" si="59"/>
        <v xml:space="preserve"> </v>
      </c>
    </row>
    <row r="1609" spans="2:7" x14ac:dyDescent="0.25">
      <c r="B1609" s="41"/>
      <c r="C1609" s="241" t="str">
        <f>IFERROR(VLOOKUP(B1609,'Productos '!B:C,2,FALSE)," ")</f>
        <v xml:space="preserve"> </v>
      </c>
      <c r="D1609" s="242"/>
      <c r="E1609" s="41"/>
      <c r="F1609" s="40" t="str">
        <f>IFERROR(VLOOKUP(B1609,'Productos '!B:G,3,FALSE)," ")</f>
        <v xml:space="preserve"> </v>
      </c>
      <c r="G1609" s="40" t="str">
        <f t="shared" si="59"/>
        <v xml:space="preserve"> </v>
      </c>
    </row>
    <row r="1610" spans="2:7" x14ac:dyDescent="0.25">
      <c r="B1610" s="41"/>
      <c r="C1610" s="241" t="str">
        <f>IFERROR(VLOOKUP(B1610,'Productos '!B:C,2,FALSE)," ")</f>
        <v xml:space="preserve"> </v>
      </c>
      <c r="D1610" s="242"/>
      <c r="E1610" s="41"/>
      <c r="F1610" s="40" t="str">
        <f>IFERROR(VLOOKUP(B1610,'Productos '!B:G,3,FALSE)," ")</f>
        <v xml:space="preserve"> </v>
      </c>
      <c r="G1610" s="40" t="str">
        <f t="shared" si="59"/>
        <v xml:space="preserve"> </v>
      </c>
    </row>
    <row r="1611" spans="2:7" x14ac:dyDescent="0.25">
      <c r="B1611" s="41"/>
      <c r="C1611" s="241" t="str">
        <f>IFERROR(VLOOKUP(B1611,'Productos '!B:C,2,FALSE)," ")</f>
        <v xml:space="preserve"> </v>
      </c>
      <c r="D1611" s="242"/>
      <c r="E1611" s="41"/>
      <c r="F1611" s="40" t="str">
        <f>IFERROR(VLOOKUP(B1611,'Productos '!B:G,3,FALSE)," ")</f>
        <v xml:space="preserve"> </v>
      </c>
      <c r="G1611" s="40" t="str">
        <f t="shared" si="59"/>
        <v xml:space="preserve"> </v>
      </c>
    </row>
    <row r="1612" spans="2:7" x14ac:dyDescent="0.25">
      <c r="B1612" s="41"/>
      <c r="C1612" s="241" t="str">
        <f>IFERROR(VLOOKUP(B1612,'Productos '!B:C,2,FALSE)," ")</f>
        <v xml:space="preserve"> </v>
      </c>
      <c r="D1612" s="242"/>
      <c r="E1612" s="41"/>
      <c r="F1612" s="40" t="str">
        <f>IFERROR(VLOOKUP(B1612,'Productos '!B:G,3,FALSE)," ")</f>
        <v xml:space="preserve"> </v>
      </c>
      <c r="G1612" s="40" t="str">
        <f t="shared" si="59"/>
        <v xml:space="preserve"> </v>
      </c>
    </row>
    <row r="1613" spans="2:7" x14ac:dyDescent="0.25">
      <c r="B1613" s="100"/>
      <c r="C1613" s="253" t="s">
        <v>88</v>
      </c>
      <c r="D1613" s="254"/>
      <c r="E1613" s="38">
        <f>SUM(E1606:E1612)</f>
        <v>0</v>
      </c>
      <c r="F1613" s="104" t="s">
        <v>89</v>
      </c>
      <c r="G1613" s="40">
        <f>SUM(G1606:G1612)</f>
        <v>0</v>
      </c>
    </row>
    <row r="1614" spans="2:7" x14ac:dyDescent="0.25">
      <c r="B1614" s="100"/>
      <c r="C1614" s="100"/>
      <c r="D1614" s="100"/>
      <c r="E1614" s="100"/>
      <c r="F1614" s="104" t="s">
        <v>90</v>
      </c>
      <c r="G1614" s="40">
        <f>G1613*16%</f>
        <v>0</v>
      </c>
    </row>
    <row r="1615" spans="2:7" x14ac:dyDescent="0.25">
      <c r="B1615" s="104" t="s">
        <v>91</v>
      </c>
      <c r="C1615" s="241" t="str">
        <f>IFERROR(VLOOKUP(D1597,'DATOS REGISTRADOS'!B:R,17,FALSE)," ")</f>
        <v xml:space="preserve"> </v>
      </c>
      <c r="D1615" s="252"/>
      <c r="E1615" s="242"/>
      <c r="F1615" s="104" t="s">
        <v>57</v>
      </c>
      <c r="G1615" s="68">
        <f>SUM(G1613:G1614)</f>
        <v>0</v>
      </c>
    </row>
    <row r="1616" spans="2:7" x14ac:dyDescent="0.25">
      <c r="B1616" s="245" t="s">
        <v>129</v>
      </c>
      <c r="C1616" s="245"/>
      <c r="D1616" s="245"/>
      <c r="E1616" s="245"/>
      <c r="F1616" s="245"/>
      <c r="G1616" s="245"/>
    </row>
    <row r="1617" spans="2:7" x14ac:dyDescent="0.25">
      <c r="B1617" s="246" t="s">
        <v>124</v>
      </c>
      <c r="C1617" s="247"/>
      <c r="D1617" s="247"/>
      <c r="E1617" s="247"/>
      <c r="F1617" s="247"/>
      <c r="G1617" s="248"/>
    </row>
    <row r="1618" spans="2:7" x14ac:dyDescent="0.25">
      <c r="B1618" s="54" t="s">
        <v>123</v>
      </c>
      <c r="C1618" s="103"/>
      <c r="D1618" s="245" t="s">
        <v>128</v>
      </c>
      <c r="E1618" s="245"/>
      <c r="F1618" s="245"/>
      <c r="G1618" s="245"/>
    </row>
    <row r="1621" spans="2:7" x14ac:dyDescent="0.25">
      <c r="B1621" s="100"/>
      <c r="C1621" s="100"/>
      <c r="D1621" s="100"/>
      <c r="E1621" s="100"/>
      <c r="F1621" s="100"/>
      <c r="G1621" s="100"/>
    </row>
    <row r="1622" spans="2:7" x14ac:dyDescent="0.25">
      <c r="B1622" s="100"/>
      <c r="C1622" s="250" t="s">
        <v>22</v>
      </c>
      <c r="D1622" s="250"/>
      <c r="E1622" s="42"/>
      <c r="F1622" s="100"/>
      <c r="G1622" s="100"/>
    </row>
    <row r="1623" spans="2:7" x14ac:dyDescent="0.25">
      <c r="B1623" s="100"/>
      <c r="C1623" s="251"/>
      <c r="D1623" s="251"/>
      <c r="E1623" s="100"/>
      <c r="F1623" s="43"/>
      <c r="G1623" s="100"/>
    </row>
    <row r="1624" spans="2:7" x14ac:dyDescent="0.25">
      <c r="B1624" s="100"/>
      <c r="C1624" s="27" t="s">
        <v>77</v>
      </c>
      <c r="D1624" s="41">
        <v>32</v>
      </c>
      <c r="E1624" s="104" t="s">
        <v>125</v>
      </c>
      <c r="F1624" s="56">
        <v>16</v>
      </c>
      <c r="G1624" s="100"/>
    </row>
    <row r="1625" spans="2:7" x14ac:dyDescent="0.25">
      <c r="B1625" s="100"/>
      <c r="C1625" s="29" t="s">
        <v>76</v>
      </c>
      <c r="D1625" s="102">
        <f>IFERROR(VLOOKUP(D1624,'DATOS REGISTRADOS'!B:Q,16,FALSE)," ")</f>
        <v>23</v>
      </c>
      <c r="E1625" s="30" t="s">
        <v>78</v>
      </c>
      <c r="F1625" s="31">
        <f ca="1">TODAY()</f>
        <v>44377</v>
      </c>
      <c r="G1625" s="100"/>
    </row>
    <row r="1626" spans="2:7" x14ac:dyDescent="0.25">
      <c r="B1626" s="256" t="s">
        <v>79</v>
      </c>
      <c r="C1626" s="256"/>
      <c r="D1626" s="256"/>
      <c r="E1626" s="256"/>
      <c r="F1626" s="256"/>
      <c r="G1626" s="256"/>
    </row>
    <row r="1627" spans="2:7" x14ac:dyDescent="0.25">
      <c r="B1627" s="104" t="s">
        <v>80</v>
      </c>
      <c r="C1627" s="257" t="str">
        <f>IFERROR(VLOOKUP(D1624,'DATOS REGISTRADOS'!B:C,2,FALSE)," ")</f>
        <v>Teresa Rivera Cortez</v>
      </c>
      <c r="D1627" s="257"/>
      <c r="E1627" s="258"/>
      <c r="F1627" s="258"/>
      <c r="G1627" s="258"/>
    </row>
    <row r="1628" spans="2:7" x14ac:dyDescent="0.25">
      <c r="B1628" s="101" t="s">
        <v>81</v>
      </c>
      <c r="C1628" s="264" t="str">
        <f>IFERROR(VLOOKUP(D1624,'DATOS REGISTRADOS'!B:Q,3,FALSE)," ")</f>
        <v>rey Fernando de aragon # 739 entre Cristobal Colon y puerto de palos</v>
      </c>
      <c r="D1628" s="265"/>
      <c r="E1628" s="35" t="s">
        <v>82</v>
      </c>
      <c r="F1628" s="258">
        <f>IFERROR(VLOOKUP(D1624,'DATOS REGISTRADOS'!B:Q,7,FALSE)," ")</f>
        <v>8115698175</v>
      </c>
      <c r="G1628" s="258"/>
    </row>
    <row r="1629" spans="2:7" x14ac:dyDescent="0.25">
      <c r="B1629" s="100"/>
      <c r="C1629" s="243" t="str">
        <f>IFERROR(VLOOKUP(D1624,'DATOS REGISTRADOS'!B:Q,4,FALSE)," ")</f>
        <v>colonia quinto centenario general Escobedo</v>
      </c>
      <c r="D1629" s="244"/>
      <c r="E1629" s="100"/>
      <c r="F1629" s="100"/>
      <c r="G1629" s="100"/>
    </row>
    <row r="1630" spans="2:7" x14ac:dyDescent="0.25">
      <c r="B1630" s="100"/>
      <c r="C1630" s="66" t="str">
        <f>IFERROR(VLOOKUP(D1624,'DATOS REGISTRADOS'!B:Q,5,FALSE)," ")</f>
        <v>Nuevo Leon</v>
      </c>
      <c r="D1630" s="67">
        <f>IFERROR(VLOOKUP(D1624,'DATOS REGISTRADOS'!B:Q,6,FALSE)," ")</f>
        <v>66072</v>
      </c>
      <c r="E1630" s="100"/>
      <c r="F1630" s="100"/>
      <c r="G1630" s="100"/>
    </row>
    <row r="1631" spans="2:7" x14ac:dyDescent="0.25">
      <c r="B1631" s="256" t="s">
        <v>83</v>
      </c>
      <c r="C1631" s="262"/>
      <c r="D1631" s="262"/>
      <c r="E1631" s="256"/>
      <c r="F1631" s="256"/>
      <c r="G1631" s="256"/>
    </row>
    <row r="1632" spans="2:7" x14ac:dyDescent="0.25">
      <c r="B1632" s="104" t="s">
        <v>84</v>
      </c>
      <c r="C1632" s="249" t="s">
        <v>85</v>
      </c>
      <c r="D1632" s="249"/>
      <c r="E1632" s="104" t="s">
        <v>86</v>
      </c>
      <c r="F1632" s="104" t="s">
        <v>87</v>
      </c>
      <c r="G1632" s="104" t="s">
        <v>57</v>
      </c>
    </row>
    <row r="1633" spans="2:7" x14ac:dyDescent="0.25">
      <c r="B1633" s="41" t="s">
        <v>126</v>
      </c>
      <c r="C1633" s="241" t="str">
        <f>IFERROR(VLOOKUP(B1633,'Productos '!B:C,2,FALSE)," ")</f>
        <v>Recompra 1 Activador Celular</v>
      </c>
      <c r="D1633" s="242"/>
      <c r="E1633" s="41">
        <v>1</v>
      </c>
      <c r="F1633" s="40">
        <f>IFERROR(VLOOKUP(B1633,'Productos '!B:G,3,FALSE)," ")</f>
        <v>431.0344827586207</v>
      </c>
      <c r="G1633" s="40">
        <f>IFERROR((F1633*E1633)," ")</f>
        <v>431.0344827586207</v>
      </c>
    </row>
    <row r="1634" spans="2:7" x14ac:dyDescent="0.25">
      <c r="B1634" s="41" t="s">
        <v>321</v>
      </c>
      <c r="C1634" s="241" t="str">
        <f>IFERROR(VLOOKUP(B1634,'Productos '!B:C,2,FALSE)," ")</f>
        <v>Envio</v>
      </c>
      <c r="D1634" s="242"/>
      <c r="E1634" s="41">
        <v>1</v>
      </c>
      <c r="F1634" s="40">
        <f>IFERROR(VLOOKUP(B1634,'Productos '!B:G,3,FALSE)," ")</f>
        <v>103.44827586206897</v>
      </c>
      <c r="G1634" s="40">
        <f t="shared" ref="G1634:G1639" si="60">IFERROR((F1634*E1634)," ")</f>
        <v>103.44827586206897</v>
      </c>
    </row>
    <row r="1635" spans="2:7" x14ac:dyDescent="0.25">
      <c r="B1635" s="41"/>
      <c r="C1635" s="241" t="str">
        <f>IFERROR(VLOOKUP(B1635,'Productos '!B:C,2,FALSE)," ")</f>
        <v xml:space="preserve"> </v>
      </c>
      <c r="D1635" s="242"/>
      <c r="E1635" s="41"/>
      <c r="F1635" s="40" t="str">
        <f>IFERROR(VLOOKUP(B1635,'Productos '!B:G,3,FALSE)," ")</f>
        <v xml:space="preserve"> </v>
      </c>
      <c r="G1635" s="40" t="str">
        <f t="shared" si="60"/>
        <v xml:space="preserve"> </v>
      </c>
    </row>
    <row r="1636" spans="2:7" x14ac:dyDescent="0.25">
      <c r="B1636" s="41"/>
      <c r="C1636" s="241" t="str">
        <f>IFERROR(VLOOKUP(B1636,'Productos '!B:C,2,FALSE)," ")</f>
        <v xml:space="preserve"> </v>
      </c>
      <c r="D1636" s="242"/>
      <c r="E1636" s="41"/>
      <c r="F1636" s="40" t="str">
        <f>IFERROR(VLOOKUP(B1636,'Productos '!B:G,3,FALSE)," ")</f>
        <v xml:space="preserve"> </v>
      </c>
      <c r="G1636" s="40" t="str">
        <f t="shared" si="60"/>
        <v xml:space="preserve"> </v>
      </c>
    </row>
    <row r="1637" spans="2:7" x14ac:dyDescent="0.25">
      <c r="B1637" s="41"/>
      <c r="C1637" s="241" t="str">
        <f>IFERROR(VLOOKUP(B1637,'Productos '!B:C,2,FALSE)," ")</f>
        <v xml:space="preserve"> </v>
      </c>
      <c r="D1637" s="242"/>
      <c r="E1637" s="41"/>
      <c r="F1637" s="40" t="str">
        <f>IFERROR(VLOOKUP(B1637,'Productos '!B:G,3,FALSE)," ")</f>
        <v xml:space="preserve"> </v>
      </c>
      <c r="G1637" s="40" t="str">
        <f t="shared" si="60"/>
        <v xml:space="preserve"> </v>
      </c>
    </row>
    <row r="1638" spans="2:7" x14ac:dyDescent="0.25">
      <c r="B1638" s="41"/>
      <c r="C1638" s="241" t="str">
        <f>IFERROR(VLOOKUP(B1638,'Productos '!B:C,2,FALSE)," ")</f>
        <v xml:space="preserve"> </v>
      </c>
      <c r="D1638" s="242"/>
      <c r="E1638" s="41"/>
      <c r="F1638" s="40" t="str">
        <f>IFERROR(VLOOKUP(B1638,'Productos '!B:G,3,FALSE)," ")</f>
        <v xml:space="preserve"> </v>
      </c>
      <c r="G1638" s="40" t="str">
        <f t="shared" si="60"/>
        <v xml:space="preserve"> </v>
      </c>
    </row>
    <row r="1639" spans="2:7" x14ac:dyDescent="0.25">
      <c r="B1639" s="41"/>
      <c r="C1639" s="241" t="str">
        <f>IFERROR(VLOOKUP(B1639,'Productos '!B:C,2,FALSE)," ")</f>
        <v xml:space="preserve"> </v>
      </c>
      <c r="D1639" s="242"/>
      <c r="E1639" s="41"/>
      <c r="F1639" s="40" t="str">
        <f>IFERROR(VLOOKUP(B1639,'Productos '!B:G,3,FALSE)," ")</f>
        <v xml:space="preserve"> </v>
      </c>
      <c r="G1639" s="40" t="str">
        <f t="shared" si="60"/>
        <v xml:space="preserve"> </v>
      </c>
    </row>
    <row r="1640" spans="2:7" x14ac:dyDescent="0.25">
      <c r="B1640" s="100"/>
      <c r="C1640" s="253" t="s">
        <v>88</v>
      </c>
      <c r="D1640" s="254"/>
      <c r="E1640" s="38">
        <f>SUM(E1633:E1639)</f>
        <v>2</v>
      </c>
      <c r="F1640" s="104" t="s">
        <v>89</v>
      </c>
      <c r="G1640" s="40">
        <f>SUM(G1633:G1639)</f>
        <v>534.48275862068965</v>
      </c>
    </row>
    <row r="1641" spans="2:7" x14ac:dyDescent="0.25">
      <c r="B1641" s="100"/>
      <c r="C1641" s="100"/>
      <c r="D1641" s="100"/>
      <c r="E1641" s="100"/>
      <c r="F1641" s="104" t="s">
        <v>90</v>
      </c>
      <c r="G1641" s="40">
        <f>G1640*16%</f>
        <v>85.517241379310349</v>
      </c>
    </row>
    <row r="1642" spans="2:7" x14ac:dyDescent="0.25">
      <c r="B1642" s="104" t="s">
        <v>91</v>
      </c>
      <c r="C1642" s="241" t="str">
        <f>IFERROR(VLOOKUP(D1624,'DATOS REGISTRADOS'!B:R,17,FALSE)," ")</f>
        <v>Bertha Vázquez</v>
      </c>
      <c r="D1642" s="252"/>
      <c r="E1642" s="242"/>
      <c r="F1642" s="104" t="s">
        <v>57</v>
      </c>
      <c r="G1642" s="68">
        <f>SUM(G1640:G1641)</f>
        <v>620</v>
      </c>
    </row>
    <row r="1643" spans="2:7" x14ac:dyDescent="0.25">
      <c r="B1643" s="245" t="s">
        <v>129</v>
      </c>
      <c r="C1643" s="245"/>
      <c r="D1643" s="245"/>
      <c r="E1643" s="245"/>
      <c r="F1643" s="245"/>
      <c r="G1643" s="245"/>
    </row>
    <row r="1644" spans="2:7" x14ac:dyDescent="0.25">
      <c r="B1644" s="246" t="s">
        <v>124</v>
      </c>
      <c r="C1644" s="247"/>
      <c r="D1644" s="247"/>
      <c r="E1644" s="247"/>
      <c r="F1644" s="247"/>
      <c r="G1644" s="248"/>
    </row>
    <row r="1645" spans="2:7" x14ac:dyDescent="0.25">
      <c r="B1645" s="54" t="s">
        <v>123</v>
      </c>
      <c r="C1645" s="103"/>
      <c r="D1645" s="245" t="s">
        <v>128</v>
      </c>
      <c r="E1645" s="245"/>
      <c r="F1645" s="245"/>
      <c r="G1645" s="245"/>
    </row>
    <row r="1648" spans="2:7" x14ac:dyDescent="0.25">
      <c r="B1648" s="100"/>
      <c r="C1648" s="100"/>
      <c r="D1648" s="100"/>
      <c r="E1648" s="100"/>
      <c r="F1648" s="100"/>
      <c r="G1648" s="100"/>
    </row>
    <row r="1649" spans="2:7" x14ac:dyDescent="0.25">
      <c r="B1649" s="100"/>
      <c r="C1649" s="250" t="s">
        <v>22</v>
      </c>
      <c r="D1649" s="250"/>
      <c r="E1649" s="42"/>
      <c r="F1649" s="100"/>
      <c r="G1649" s="100"/>
    </row>
    <row r="1650" spans="2:7" x14ac:dyDescent="0.25">
      <c r="B1650" s="100"/>
      <c r="C1650" s="251"/>
      <c r="D1650" s="251"/>
      <c r="E1650" s="100"/>
      <c r="F1650" s="43"/>
      <c r="G1650" s="100"/>
    </row>
    <row r="1651" spans="2:7" x14ac:dyDescent="0.25">
      <c r="B1651" s="100"/>
      <c r="C1651" s="27" t="s">
        <v>77</v>
      </c>
      <c r="D1651" s="41">
        <v>33</v>
      </c>
      <c r="E1651" s="104" t="s">
        <v>125</v>
      </c>
      <c r="F1651" s="56">
        <v>15</v>
      </c>
      <c r="G1651" s="100"/>
    </row>
    <row r="1652" spans="2:7" x14ac:dyDescent="0.25">
      <c r="B1652" s="100"/>
      <c r="C1652" s="29" t="s">
        <v>76</v>
      </c>
      <c r="D1652" s="102">
        <f>IFERROR(VLOOKUP(D1651,'DATOS REGISTRADOS'!B:Q,16,FALSE)," ")</f>
        <v>25</v>
      </c>
      <c r="E1652" s="30" t="s">
        <v>78</v>
      </c>
      <c r="F1652" s="31">
        <f ca="1">TODAY()</f>
        <v>44377</v>
      </c>
      <c r="G1652" s="100"/>
    </row>
    <row r="1653" spans="2:7" x14ac:dyDescent="0.25">
      <c r="B1653" s="256" t="s">
        <v>79</v>
      </c>
      <c r="C1653" s="256"/>
      <c r="D1653" s="256"/>
      <c r="E1653" s="256"/>
      <c r="F1653" s="256"/>
      <c r="G1653" s="256"/>
    </row>
    <row r="1654" spans="2:7" x14ac:dyDescent="0.25">
      <c r="B1654" s="104" t="s">
        <v>80</v>
      </c>
      <c r="C1654" s="257" t="str">
        <f>IFERROR(VLOOKUP(D1651,'DATOS REGISTRADOS'!B:C,2,FALSE)," ")</f>
        <v>Cindy Guadalupe Rivera Polino</v>
      </c>
      <c r="D1654" s="257"/>
      <c r="E1654" s="258"/>
      <c r="F1654" s="258"/>
      <c r="G1654" s="258"/>
    </row>
    <row r="1655" spans="2:7" x14ac:dyDescent="0.25">
      <c r="B1655" s="101" t="s">
        <v>81</v>
      </c>
      <c r="C1655" s="264" t="str">
        <f>IFERROR(VLOOKUP(D1651,'DATOS REGISTRADOS'!B:Q,3,FALSE)," ")</f>
        <v xml:space="preserve">Río Coatzacoalcos 837 </v>
      </c>
      <c r="D1655" s="265"/>
      <c r="E1655" s="35" t="s">
        <v>82</v>
      </c>
      <c r="F1655" s="258">
        <f>IFERROR(VLOOKUP(D1651,'DATOS REGISTRADOS'!B:Q,7,FALSE)," ")</f>
        <v>8115431377</v>
      </c>
      <c r="G1655" s="258"/>
    </row>
    <row r="1656" spans="2:7" x14ac:dyDescent="0.25">
      <c r="B1656" s="100"/>
      <c r="C1656" s="243" t="str">
        <f>IFERROR(VLOOKUP(D1651,'DATOS REGISTRADOS'!B:Q,4,FALSE)," ")</f>
        <v>Pueblo Nuevo V, Apodaca</v>
      </c>
      <c r="D1656" s="244"/>
      <c r="E1656" s="100"/>
      <c r="F1656" s="100"/>
      <c r="G1656" s="100"/>
    </row>
    <row r="1657" spans="2:7" x14ac:dyDescent="0.25">
      <c r="B1657" s="100"/>
      <c r="C1657" s="66" t="str">
        <f>IFERROR(VLOOKUP(D1651,'DATOS REGISTRADOS'!B:Q,5,FALSE)," ")</f>
        <v>NL</v>
      </c>
      <c r="D1657" s="67">
        <f>IFERROR(VLOOKUP(D1651,'DATOS REGISTRADOS'!B:Q,6,FALSE)," ")</f>
        <v>66646</v>
      </c>
      <c r="E1657" s="100"/>
      <c r="F1657" s="100"/>
      <c r="G1657" s="100"/>
    </row>
    <row r="1658" spans="2:7" x14ac:dyDescent="0.25">
      <c r="B1658" s="256" t="s">
        <v>83</v>
      </c>
      <c r="C1658" s="262"/>
      <c r="D1658" s="262"/>
      <c r="E1658" s="256"/>
      <c r="F1658" s="256"/>
      <c r="G1658" s="256"/>
    </row>
    <row r="1659" spans="2:7" x14ac:dyDescent="0.25">
      <c r="B1659" s="104" t="s">
        <v>84</v>
      </c>
      <c r="C1659" s="249" t="s">
        <v>85</v>
      </c>
      <c r="D1659" s="249"/>
      <c r="E1659" s="104" t="s">
        <v>86</v>
      </c>
      <c r="F1659" s="104" t="s">
        <v>87</v>
      </c>
      <c r="G1659" s="104" t="s">
        <v>57</v>
      </c>
    </row>
    <row r="1660" spans="2:7" x14ac:dyDescent="0.25">
      <c r="B1660" s="41" t="s">
        <v>149</v>
      </c>
      <c r="C1660" s="241" t="str">
        <f>IFERROR(VLOOKUP(B1660,'Productos '!B:C,2,FALSE)," ")</f>
        <v>Crema regenerante</v>
      </c>
      <c r="D1660" s="242"/>
      <c r="E1660" s="41">
        <v>1</v>
      </c>
      <c r="F1660" s="40">
        <f>IFERROR(VLOOKUP(B1660,'Productos '!B:G,3,FALSE)," ")</f>
        <v>155.17241379310346</v>
      </c>
      <c r="G1660" s="40">
        <f>IFERROR((F1660*E1660)," ")</f>
        <v>155.17241379310346</v>
      </c>
    </row>
    <row r="1661" spans="2:7" x14ac:dyDescent="0.25">
      <c r="B1661" s="41" t="s">
        <v>126</v>
      </c>
      <c r="C1661" s="241" t="str">
        <f>IFERROR(VLOOKUP(B1661,'Productos '!B:C,2,FALSE)," ")</f>
        <v>Recompra 1 Activador Celular</v>
      </c>
      <c r="D1661" s="242"/>
      <c r="E1661" s="41">
        <v>1</v>
      </c>
      <c r="F1661" s="40">
        <f>IFERROR(VLOOKUP(B1661,'Productos '!B:G,3,FALSE)," ")</f>
        <v>431.0344827586207</v>
      </c>
      <c r="G1661" s="40">
        <f t="shared" ref="G1661:G1666" si="61">IFERROR((F1661*E1661)," ")</f>
        <v>431.0344827586207</v>
      </c>
    </row>
    <row r="1662" spans="2:7" x14ac:dyDescent="0.25">
      <c r="B1662" s="41" t="s">
        <v>321</v>
      </c>
      <c r="C1662" s="241" t="str">
        <f>IFERROR(VLOOKUP(B1662,'Productos '!B:C,2,FALSE)," ")</f>
        <v>Envio</v>
      </c>
      <c r="D1662" s="242"/>
      <c r="E1662" s="41">
        <v>1</v>
      </c>
      <c r="F1662" s="40">
        <f>IFERROR(VLOOKUP(B1662,'Productos '!B:G,3,FALSE)," ")</f>
        <v>103.44827586206897</v>
      </c>
      <c r="G1662" s="40">
        <f t="shared" si="61"/>
        <v>103.44827586206897</v>
      </c>
    </row>
    <row r="1663" spans="2:7" x14ac:dyDescent="0.25">
      <c r="B1663" s="41"/>
      <c r="C1663" s="241" t="str">
        <f>IFERROR(VLOOKUP(B1663,'Productos '!B:C,2,FALSE)," ")</f>
        <v xml:space="preserve"> </v>
      </c>
      <c r="D1663" s="242"/>
      <c r="E1663" s="41"/>
      <c r="F1663" s="40" t="str">
        <f>IFERROR(VLOOKUP(B1663,'Productos '!B:G,3,FALSE)," ")</f>
        <v xml:space="preserve"> </v>
      </c>
      <c r="G1663" s="40" t="str">
        <f t="shared" si="61"/>
        <v xml:space="preserve"> </v>
      </c>
    </row>
    <row r="1664" spans="2:7" x14ac:dyDescent="0.25">
      <c r="B1664" s="41"/>
      <c r="C1664" s="241" t="str">
        <f>IFERROR(VLOOKUP(B1664,'Productos '!B:C,2,FALSE)," ")</f>
        <v xml:space="preserve"> </v>
      </c>
      <c r="D1664" s="242"/>
      <c r="E1664" s="41"/>
      <c r="F1664" s="40" t="str">
        <f>IFERROR(VLOOKUP(B1664,'Productos '!B:G,3,FALSE)," ")</f>
        <v xml:space="preserve"> </v>
      </c>
      <c r="G1664" s="40" t="str">
        <f t="shared" si="61"/>
        <v xml:space="preserve"> </v>
      </c>
    </row>
    <row r="1665" spans="2:7" x14ac:dyDescent="0.25">
      <c r="B1665" s="41"/>
      <c r="C1665" s="241" t="str">
        <f>IFERROR(VLOOKUP(B1665,'Productos '!B:C,2,FALSE)," ")</f>
        <v xml:space="preserve"> </v>
      </c>
      <c r="D1665" s="242"/>
      <c r="E1665" s="41"/>
      <c r="F1665" s="40" t="str">
        <f>IFERROR(VLOOKUP(B1665,'Productos '!B:G,3,FALSE)," ")</f>
        <v xml:space="preserve"> </v>
      </c>
      <c r="G1665" s="40" t="str">
        <f t="shared" si="61"/>
        <v xml:space="preserve"> </v>
      </c>
    </row>
    <row r="1666" spans="2:7" x14ac:dyDescent="0.25">
      <c r="B1666" s="41"/>
      <c r="C1666" s="241" t="str">
        <f>IFERROR(VLOOKUP(B1666,'Productos '!B:C,2,FALSE)," ")</f>
        <v xml:space="preserve"> </v>
      </c>
      <c r="D1666" s="242"/>
      <c r="E1666" s="41"/>
      <c r="F1666" s="40" t="str">
        <f>IFERROR(VLOOKUP(B1666,'Productos '!B:G,3,FALSE)," ")</f>
        <v xml:space="preserve"> </v>
      </c>
      <c r="G1666" s="40" t="str">
        <f t="shared" si="61"/>
        <v xml:space="preserve"> </v>
      </c>
    </row>
    <row r="1667" spans="2:7" x14ac:dyDescent="0.25">
      <c r="B1667" s="100"/>
      <c r="C1667" s="253" t="s">
        <v>88</v>
      </c>
      <c r="D1667" s="254"/>
      <c r="E1667" s="38">
        <f>SUM(E1660:E1666)</f>
        <v>3</v>
      </c>
      <c r="F1667" s="104" t="s">
        <v>89</v>
      </c>
      <c r="G1667" s="40">
        <f>SUM(G1660:G1666)</f>
        <v>689.65517241379314</v>
      </c>
    </row>
    <row r="1668" spans="2:7" x14ac:dyDescent="0.25">
      <c r="B1668" s="100"/>
      <c r="C1668" s="100"/>
      <c r="D1668" s="100"/>
      <c r="E1668" s="100"/>
      <c r="F1668" s="104" t="s">
        <v>90</v>
      </c>
      <c r="G1668" s="40">
        <f>G1667*16%</f>
        <v>110.3448275862069</v>
      </c>
    </row>
    <row r="1669" spans="2:7" x14ac:dyDescent="0.25">
      <c r="B1669" s="104" t="s">
        <v>91</v>
      </c>
      <c r="C1669" s="241" t="str">
        <f>IFERROR(VLOOKUP(D1651,'DATOS REGISTRADOS'!B:R,17,FALSE)," ")</f>
        <v>María de los angeles Martínez Villareal</v>
      </c>
      <c r="D1669" s="252"/>
      <c r="E1669" s="242"/>
      <c r="F1669" s="104" t="s">
        <v>57</v>
      </c>
      <c r="G1669" s="68">
        <f>SUM(G1667:G1668)</f>
        <v>800</v>
      </c>
    </row>
    <row r="1670" spans="2:7" x14ac:dyDescent="0.25">
      <c r="B1670" s="245" t="s">
        <v>129</v>
      </c>
      <c r="C1670" s="245"/>
      <c r="D1670" s="245"/>
      <c r="E1670" s="245"/>
      <c r="F1670" s="245"/>
      <c r="G1670" s="245"/>
    </row>
    <row r="1671" spans="2:7" x14ac:dyDescent="0.25">
      <c r="B1671" s="246" t="s">
        <v>124</v>
      </c>
      <c r="C1671" s="247"/>
      <c r="D1671" s="247"/>
      <c r="E1671" s="247"/>
      <c r="F1671" s="247"/>
      <c r="G1671" s="248"/>
    </row>
    <row r="1672" spans="2:7" x14ac:dyDescent="0.25">
      <c r="B1672" s="54" t="s">
        <v>123</v>
      </c>
      <c r="C1672" s="103"/>
      <c r="D1672" s="245" t="s">
        <v>128</v>
      </c>
      <c r="E1672" s="245"/>
      <c r="F1672" s="245"/>
      <c r="G1672" s="245"/>
    </row>
    <row r="1675" spans="2:7" x14ac:dyDescent="0.25">
      <c r="B1675" s="96"/>
      <c r="C1675" s="96"/>
      <c r="D1675" s="96"/>
      <c r="E1675" s="96"/>
      <c r="F1675" s="96"/>
      <c r="G1675" s="96"/>
    </row>
    <row r="1676" spans="2:7" x14ac:dyDescent="0.25">
      <c r="B1676" s="96"/>
      <c r="C1676" s="250" t="s">
        <v>22</v>
      </c>
      <c r="D1676" s="250"/>
      <c r="E1676" s="42"/>
      <c r="F1676" s="96"/>
      <c r="G1676" s="96"/>
    </row>
    <row r="1677" spans="2:7" x14ac:dyDescent="0.25">
      <c r="B1677" s="96"/>
      <c r="C1677" s="251"/>
      <c r="D1677" s="251"/>
      <c r="E1677" s="96"/>
      <c r="F1677" s="43"/>
      <c r="G1677" s="96"/>
    </row>
    <row r="1678" spans="2:7" x14ac:dyDescent="0.25">
      <c r="B1678" s="96"/>
      <c r="C1678" s="27" t="s">
        <v>77</v>
      </c>
      <c r="D1678" s="41">
        <v>33</v>
      </c>
      <c r="E1678" s="95" t="s">
        <v>125</v>
      </c>
      <c r="F1678" s="56">
        <v>14</v>
      </c>
      <c r="G1678" s="96"/>
    </row>
    <row r="1679" spans="2:7" x14ac:dyDescent="0.25">
      <c r="B1679" s="96"/>
      <c r="C1679" s="29" t="s">
        <v>76</v>
      </c>
      <c r="D1679" s="93">
        <f>IFERROR(VLOOKUP(D1678,'DATOS REGISTRADOS'!B:Q,16,FALSE)," ")</f>
        <v>25</v>
      </c>
      <c r="E1679" s="30" t="s">
        <v>78</v>
      </c>
      <c r="F1679" s="31">
        <f ca="1">TODAY()</f>
        <v>44377</v>
      </c>
      <c r="G1679" s="96"/>
    </row>
    <row r="1680" spans="2:7" x14ac:dyDescent="0.25">
      <c r="B1680" s="256" t="s">
        <v>79</v>
      </c>
      <c r="C1680" s="256"/>
      <c r="D1680" s="256"/>
      <c r="E1680" s="256"/>
      <c r="F1680" s="256"/>
      <c r="G1680" s="256"/>
    </row>
    <row r="1681" spans="2:7" x14ac:dyDescent="0.25">
      <c r="B1681" s="95" t="s">
        <v>80</v>
      </c>
      <c r="C1681" s="257" t="str">
        <f>IFERROR(VLOOKUP(D1678,'DATOS REGISTRADOS'!B:C,2,FALSE)," ")</f>
        <v>Cindy Guadalupe Rivera Polino</v>
      </c>
      <c r="D1681" s="257"/>
      <c r="E1681" s="258"/>
      <c r="F1681" s="258"/>
      <c r="G1681" s="258"/>
    </row>
    <row r="1682" spans="2:7" x14ac:dyDescent="0.25">
      <c r="B1682" s="97" t="s">
        <v>81</v>
      </c>
      <c r="C1682" s="264" t="str">
        <f>IFERROR(VLOOKUP(D1678,'DATOS REGISTRADOS'!B:Q,3,FALSE)," ")</f>
        <v xml:space="preserve">Río Coatzacoalcos 837 </v>
      </c>
      <c r="D1682" s="265"/>
      <c r="E1682" s="35" t="s">
        <v>82</v>
      </c>
      <c r="F1682" s="258">
        <f>IFERROR(VLOOKUP(D1678,'DATOS REGISTRADOS'!B:Q,7,FALSE)," ")</f>
        <v>8115431377</v>
      </c>
      <c r="G1682" s="258"/>
    </row>
    <row r="1683" spans="2:7" x14ac:dyDescent="0.25">
      <c r="B1683" s="96"/>
      <c r="C1683" s="243" t="str">
        <f>IFERROR(VLOOKUP(D1678,'DATOS REGISTRADOS'!B:Q,4,FALSE)," ")</f>
        <v>Pueblo Nuevo V, Apodaca</v>
      </c>
      <c r="D1683" s="244"/>
      <c r="E1683" s="96"/>
      <c r="F1683" s="96"/>
      <c r="G1683" s="96"/>
    </row>
    <row r="1684" spans="2:7" x14ac:dyDescent="0.25">
      <c r="B1684" s="96"/>
      <c r="C1684" s="66" t="str">
        <f>IFERROR(VLOOKUP(D1678,'DATOS REGISTRADOS'!B:Q,5,FALSE)," ")</f>
        <v>NL</v>
      </c>
      <c r="D1684" s="67">
        <f>IFERROR(VLOOKUP(D1678,'DATOS REGISTRADOS'!B:Q,6,FALSE)," ")</f>
        <v>66646</v>
      </c>
      <c r="E1684" s="96"/>
      <c r="F1684" s="96"/>
      <c r="G1684" s="96"/>
    </row>
    <row r="1685" spans="2:7" x14ac:dyDescent="0.25">
      <c r="B1685" s="256" t="s">
        <v>83</v>
      </c>
      <c r="C1685" s="262"/>
      <c r="D1685" s="262"/>
      <c r="E1685" s="256"/>
      <c r="F1685" s="256"/>
      <c r="G1685" s="256"/>
    </row>
    <row r="1686" spans="2:7" x14ac:dyDescent="0.25">
      <c r="B1686" s="95" t="s">
        <v>84</v>
      </c>
      <c r="C1686" s="249" t="s">
        <v>85</v>
      </c>
      <c r="D1686" s="249"/>
      <c r="E1686" s="95" t="s">
        <v>86</v>
      </c>
      <c r="F1686" s="95" t="s">
        <v>87</v>
      </c>
      <c r="G1686" s="95" t="s">
        <v>57</v>
      </c>
    </row>
    <row r="1687" spans="2:7" x14ac:dyDescent="0.25">
      <c r="B1687" s="41" t="s">
        <v>126</v>
      </c>
      <c r="C1687" s="241" t="str">
        <f>IFERROR(VLOOKUP(B1687,'Productos '!B:C,2,FALSE)," ")</f>
        <v>Recompra 1 Activador Celular</v>
      </c>
      <c r="D1687" s="242"/>
      <c r="E1687" s="41">
        <v>1</v>
      </c>
      <c r="F1687" s="40">
        <f>IFERROR(VLOOKUP(B1687,'Productos '!B:G,3,FALSE)," ")</f>
        <v>431.0344827586207</v>
      </c>
      <c r="G1687" s="40">
        <f>IFERROR((F1687*E1687)," ")</f>
        <v>431.0344827586207</v>
      </c>
    </row>
    <row r="1688" spans="2:7" x14ac:dyDescent="0.25">
      <c r="B1688" s="41" t="s">
        <v>149</v>
      </c>
      <c r="C1688" s="241" t="str">
        <f>IFERROR(VLOOKUP(B1688,'Productos '!B:C,2,FALSE)," ")</f>
        <v>Crema regenerante</v>
      </c>
      <c r="D1688" s="242"/>
      <c r="E1688" s="41">
        <v>1</v>
      </c>
      <c r="F1688" s="40">
        <f>IFERROR(VLOOKUP(B1688,'Productos '!B:G,3,FALSE)," ")</f>
        <v>155.17241379310346</v>
      </c>
      <c r="G1688" s="40">
        <f t="shared" ref="G1688:G1693" si="62">IFERROR((F1688*E1688)," ")</f>
        <v>155.17241379310346</v>
      </c>
    </row>
    <row r="1689" spans="2:7" x14ac:dyDescent="0.25">
      <c r="B1689" s="41" t="s">
        <v>122</v>
      </c>
      <c r="C1689" s="241" t="str">
        <f>IFERROR(VLOOKUP(B1689,'Productos '!B:C,2,FALSE)," ")</f>
        <v xml:space="preserve"> </v>
      </c>
      <c r="D1689" s="242"/>
      <c r="E1689" s="41">
        <v>1</v>
      </c>
      <c r="F1689" s="40" t="str">
        <f>IFERROR(VLOOKUP(B1689,'Productos '!B:G,3,FALSE)," ")</f>
        <v xml:space="preserve"> </v>
      </c>
      <c r="G1689" s="40" t="str">
        <f t="shared" si="62"/>
        <v xml:space="preserve"> </v>
      </c>
    </row>
    <row r="1690" spans="2:7" x14ac:dyDescent="0.25">
      <c r="B1690" s="41"/>
      <c r="C1690" s="241" t="str">
        <f>IFERROR(VLOOKUP(B1690,'Productos '!B:C,2,FALSE)," ")</f>
        <v xml:space="preserve"> </v>
      </c>
      <c r="D1690" s="242"/>
      <c r="E1690" s="41"/>
      <c r="F1690" s="40" t="str">
        <f>IFERROR(VLOOKUP(B1690,'Productos '!B:G,3,FALSE)," ")</f>
        <v xml:space="preserve"> </v>
      </c>
      <c r="G1690" s="40" t="str">
        <f t="shared" si="62"/>
        <v xml:space="preserve"> </v>
      </c>
    </row>
    <row r="1691" spans="2:7" x14ac:dyDescent="0.25">
      <c r="B1691" s="41"/>
      <c r="C1691" s="241" t="str">
        <f>IFERROR(VLOOKUP(B1691,'Productos '!B:C,2,FALSE)," ")</f>
        <v xml:space="preserve"> </v>
      </c>
      <c r="D1691" s="242"/>
      <c r="E1691" s="41"/>
      <c r="F1691" s="40" t="str">
        <f>IFERROR(VLOOKUP(B1691,'Productos '!B:G,3,FALSE)," ")</f>
        <v xml:space="preserve"> </v>
      </c>
      <c r="G1691" s="40" t="str">
        <f t="shared" si="62"/>
        <v xml:space="preserve"> </v>
      </c>
    </row>
    <row r="1692" spans="2:7" x14ac:dyDescent="0.25">
      <c r="B1692" s="41"/>
      <c r="C1692" s="241" t="str">
        <f>IFERROR(VLOOKUP(B1692,'Productos '!B:C,2,FALSE)," ")</f>
        <v xml:space="preserve"> </v>
      </c>
      <c r="D1692" s="242"/>
      <c r="E1692" s="41"/>
      <c r="F1692" s="40" t="str">
        <f>IFERROR(VLOOKUP(B1692,'Productos '!B:G,3,FALSE)," ")</f>
        <v xml:space="preserve"> </v>
      </c>
      <c r="G1692" s="40" t="str">
        <f t="shared" si="62"/>
        <v xml:space="preserve"> </v>
      </c>
    </row>
    <row r="1693" spans="2:7" x14ac:dyDescent="0.25">
      <c r="B1693" s="41"/>
      <c r="C1693" s="241" t="str">
        <f>IFERROR(VLOOKUP(B1693,'Productos '!B:C,2,FALSE)," ")</f>
        <v xml:space="preserve"> </v>
      </c>
      <c r="D1693" s="242"/>
      <c r="E1693" s="41"/>
      <c r="F1693" s="40" t="str">
        <f>IFERROR(VLOOKUP(B1693,'Productos '!B:G,3,FALSE)," ")</f>
        <v xml:space="preserve"> </v>
      </c>
      <c r="G1693" s="40" t="str">
        <f t="shared" si="62"/>
        <v xml:space="preserve"> </v>
      </c>
    </row>
    <row r="1694" spans="2:7" x14ac:dyDescent="0.25">
      <c r="B1694" s="96"/>
      <c r="C1694" s="253" t="s">
        <v>88</v>
      </c>
      <c r="D1694" s="254"/>
      <c r="E1694" s="38">
        <f>SUM(E1687:E1693)</f>
        <v>3</v>
      </c>
      <c r="F1694" s="95" t="s">
        <v>89</v>
      </c>
      <c r="G1694" s="40">
        <f>SUM(G1687:G1693)</f>
        <v>586.20689655172418</v>
      </c>
    </row>
    <row r="1695" spans="2:7" x14ac:dyDescent="0.25">
      <c r="B1695" s="96"/>
      <c r="C1695" s="96"/>
      <c r="D1695" s="96"/>
      <c r="E1695" s="96"/>
      <c r="F1695" s="95" t="s">
        <v>90</v>
      </c>
      <c r="G1695" s="40">
        <f>G1694*16%</f>
        <v>93.793103448275872</v>
      </c>
    </row>
    <row r="1696" spans="2:7" x14ac:dyDescent="0.25">
      <c r="B1696" s="95" t="s">
        <v>91</v>
      </c>
      <c r="C1696" s="241" t="str">
        <f>IFERROR(VLOOKUP(D1678,'DATOS REGISTRADOS'!B:R,17,FALSE)," ")</f>
        <v>María de los angeles Martínez Villareal</v>
      </c>
      <c r="D1696" s="252"/>
      <c r="E1696" s="242"/>
      <c r="F1696" s="95" t="s">
        <v>57</v>
      </c>
      <c r="G1696" s="68">
        <f>SUM(G1694:G1695)</f>
        <v>680</v>
      </c>
    </row>
    <row r="1697" spans="2:7" x14ac:dyDescent="0.25">
      <c r="B1697" s="245" t="s">
        <v>129</v>
      </c>
      <c r="C1697" s="245"/>
      <c r="D1697" s="245"/>
      <c r="E1697" s="245"/>
      <c r="F1697" s="245"/>
      <c r="G1697" s="245"/>
    </row>
    <row r="1698" spans="2:7" x14ac:dyDescent="0.25">
      <c r="B1698" s="246" t="s">
        <v>124</v>
      </c>
      <c r="C1698" s="247"/>
      <c r="D1698" s="247"/>
      <c r="E1698" s="247"/>
      <c r="F1698" s="247"/>
      <c r="G1698" s="248"/>
    </row>
    <row r="1699" spans="2:7" x14ac:dyDescent="0.25">
      <c r="B1699" s="54" t="s">
        <v>123</v>
      </c>
      <c r="C1699" s="94"/>
      <c r="D1699" s="245" t="s">
        <v>128</v>
      </c>
      <c r="E1699" s="245"/>
      <c r="F1699" s="245"/>
      <c r="G1699" s="245"/>
    </row>
    <row r="1702" spans="2:7" x14ac:dyDescent="0.25">
      <c r="B1702" s="87"/>
      <c r="C1702" s="87"/>
      <c r="D1702" s="87"/>
      <c r="E1702" s="87"/>
      <c r="F1702" s="87"/>
      <c r="G1702" s="87"/>
    </row>
    <row r="1703" spans="2:7" x14ac:dyDescent="0.25">
      <c r="B1703" s="87"/>
      <c r="C1703" s="250" t="s">
        <v>22</v>
      </c>
      <c r="D1703" s="250"/>
      <c r="E1703" s="42"/>
      <c r="F1703" s="87"/>
      <c r="G1703" s="87"/>
    </row>
    <row r="1704" spans="2:7" x14ac:dyDescent="0.25">
      <c r="B1704" s="87"/>
      <c r="C1704" s="251"/>
      <c r="D1704" s="251"/>
      <c r="E1704" s="87"/>
      <c r="F1704" s="43"/>
      <c r="G1704" s="87"/>
    </row>
    <row r="1705" spans="2:7" x14ac:dyDescent="0.25">
      <c r="B1705" s="87"/>
      <c r="C1705" s="27" t="s">
        <v>77</v>
      </c>
      <c r="D1705" s="41">
        <v>55</v>
      </c>
      <c r="E1705" s="86" t="s">
        <v>125</v>
      </c>
      <c r="F1705" s="56">
        <v>13</v>
      </c>
      <c r="G1705" s="87"/>
    </row>
    <row r="1706" spans="2:7" x14ac:dyDescent="0.25">
      <c r="B1706" s="87"/>
      <c r="C1706" s="29" t="s">
        <v>76</v>
      </c>
      <c r="D1706" s="84">
        <f>IFERROR(VLOOKUP(D1705,'DATOS REGISTRADOS'!B:Q,16,FALSE)," ")</f>
        <v>51</v>
      </c>
      <c r="E1706" s="30" t="s">
        <v>78</v>
      </c>
      <c r="F1706" s="31">
        <f ca="1">TODAY()</f>
        <v>44377</v>
      </c>
      <c r="G1706" s="87"/>
    </row>
    <row r="1707" spans="2:7" x14ac:dyDescent="0.25">
      <c r="B1707" s="256" t="s">
        <v>79</v>
      </c>
      <c r="C1707" s="256"/>
      <c r="D1707" s="256"/>
      <c r="E1707" s="256"/>
      <c r="F1707" s="256"/>
      <c r="G1707" s="256"/>
    </row>
    <row r="1708" spans="2:7" x14ac:dyDescent="0.25">
      <c r="B1708" s="86" t="s">
        <v>80</v>
      </c>
      <c r="C1708" s="257" t="str">
        <f>IFERROR(VLOOKUP(D1705,'DATOS REGISTRADOS'!B:C,2,FALSE)," ")</f>
        <v>Deyanira Guadalupe Alvares Fuentes</v>
      </c>
      <c r="D1708" s="257"/>
      <c r="E1708" s="258"/>
      <c r="F1708" s="258"/>
      <c r="G1708" s="258"/>
    </row>
    <row r="1709" spans="2:7" x14ac:dyDescent="0.25">
      <c r="B1709" s="88" t="s">
        <v>81</v>
      </c>
      <c r="C1709" s="264" t="str">
        <f>IFERROR(VLOOKUP(D1705,'DATOS REGISTRADOS'!B:Q,3,FALSE)," ")</f>
        <v>calle roble# 231 cruz con calle fresnos</v>
      </c>
      <c r="D1709" s="265"/>
      <c r="E1709" s="35" t="s">
        <v>82</v>
      </c>
      <c r="F1709" s="258">
        <f>IFERROR(VLOOKUP(D1705,'DATOS REGISTRADOS'!B:Q,7,FALSE)," ")</f>
        <v>8117610274</v>
      </c>
      <c r="G1709" s="258"/>
    </row>
    <row r="1710" spans="2:7" x14ac:dyDescent="0.25">
      <c r="B1710" s="87"/>
      <c r="C1710" s="243">
        <f>IFERROR(VLOOKUP(D1705,'DATOS REGISTRADOS'!B:Q,4,FALSE)," ")</f>
        <v>0</v>
      </c>
      <c r="D1710" s="244"/>
      <c r="E1710" s="87"/>
      <c r="F1710" s="87"/>
      <c r="G1710" s="87"/>
    </row>
    <row r="1711" spans="2:7" x14ac:dyDescent="0.25">
      <c r="B1711" s="87"/>
      <c r="C1711" s="66" t="str">
        <f>IFERROR(VLOOKUP(D1705,'DATOS REGISTRADOS'!B:Q,5,FALSE)," ")</f>
        <v>Monterrey N.L</v>
      </c>
      <c r="D1711" s="67">
        <f>IFERROR(VLOOKUP(D1705,'DATOS REGISTRADOS'!B:Q,6,FALSE)," ")</f>
        <v>64102</v>
      </c>
      <c r="E1711" s="87"/>
      <c r="F1711" s="87"/>
      <c r="G1711" s="87"/>
    </row>
    <row r="1712" spans="2:7" x14ac:dyDescent="0.25">
      <c r="B1712" s="256" t="s">
        <v>83</v>
      </c>
      <c r="C1712" s="262"/>
      <c r="D1712" s="262"/>
      <c r="E1712" s="256"/>
      <c r="F1712" s="256"/>
      <c r="G1712" s="256"/>
    </row>
    <row r="1713" spans="2:7" x14ac:dyDescent="0.25">
      <c r="B1713" s="86" t="s">
        <v>84</v>
      </c>
      <c r="C1713" s="249" t="s">
        <v>85</v>
      </c>
      <c r="D1713" s="249"/>
      <c r="E1713" s="86" t="s">
        <v>86</v>
      </c>
      <c r="F1713" s="86" t="s">
        <v>87</v>
      </c>
      <c r="G1713" s="86" t="s">
        <v>57</v>
      </c>
    </row>
    <row r="1714" spans="2:7" x14ac:dyDescent="0.25">
      <c r="B1714" s="41" t="s">
        <v>127</v>
      </c>
      <c r="C1714" s="241" t="str">
        <f>IFERROR(VLOOKUP(B1714,'Productos '!B:C,2,FALSE)," ")</f>
        <v>Bono XPRESS 8 productos</v>
      </c>
      <c r="D1714" s="242"/>
      <c r="E1714" s="41">
        <v>1</v>
      </c>
      <c r="F1714" s="40">
        <f>IFERROR(VLOOKUP(B1714,'Productos '!B:G,3,FALSE)," ")</f>
        <v>3017.2413793103447</v>
      </c>
      <c r="G1714" s="40">
        <f>IFERROR((F1714*E1714)," ")</f>
        <v>3017.2413793103447</v>
      </c>
    </row>
    <row r="1715" spans="2:7" x14ac:dyDescent="0.25">
      <c r="B1715" s="41" t="s">
        <v>146</v>
      </c>
      <c r="C1715" s="241" t="str">
        <f>IFERROR(VLOOKUP(B1715,'Productos '!B:C,2,FALSE)," ")</f>
        <v>Gel Minoxidil</v>
      </c>
      <c r="D1715" s="242"/>
      <c r="E1715" s="41">
        <v>8</v>
      </c>
      <c r="F1715" s="40">
        <f>IFERROR(VLOOKUP(B1715,'Productos '!B:G,3,FALSE)," ")</f>
        <v>94.827586206896555</v>
      </c>
      <c r="G1715" s="40">
        <f t="shared" ref="G1715:G1720" si="63">IFERROR((F1715*E1715)," ")</f>
        <v>758.62068965517244</v>
      </c>
    </row>
    <row r="1716" spans="2:7" x14ac:dyDescent="0.25">
      <c r="B1716" s="41" t="s">
        <v>149</v>
      </c>
      <c r="C1716" s="241" t="str">
        <f>IFERROR(VLOOKUP(B1716,'Productos '!B:C,2,FALSE)," ")</f>
        <v>Crema regenerante</v>
      </c>
      <c r="D1716" s="242"/>
      <c r="E1716" s="41">
        <v>2</v>
      </c>
      <c r="F1716" s="40">
        <f>IFERROR(VLOOKUP(B1716,'Productos '!B:G,3,FALSE)," ")</f>
        <v>155.17241379310346</v>
      </c>
      <c r="G1716" s="40">
        <f t="shared" si="63"/>
        <v>310.34482758620692</v>
      </c>
    </row>
    <row r="1717" spans="2:7" x14ac:dyDescent="0.25">
      <c r="B1717" s="41" t="s">
        <v>151</v>
      </c>
      <c r="C1717" s="241" t="str">
        <f>IFERROR(VLOOKUP(B1717,'Productos '!B:C,2,FALSE)," ")</f>
        <v>Pago con Bonificaciones</v>
      </c>
      <c r="D1717" s="242"/>
      <c r="E1717" s="41">
        <v>2</v>
      </c>
      <c r="F1717" s="40">
        <f>IFERROR(VLOOKUP(B1717,'Productos '!B:G,3,FALSE)," ")</f>
        <v>0.86206896551724133</v>
      </c>
      <c r="G1717" s="40">
        <f t="shared" si="63"/>
        <v>1.7241379310344827</v>
      </c>
    </row>
    <row r="1718" spans="2:7" x14ac:dyDescent="0.25">
      <c r="B1718" s="41" t="s">
        <v>152</v>
      </c>
      <c r="C1718" s="241" t="str">
        <f>IFERROR(VLOOKUP(B1718,'Productos '!B:C,2,FALSE)," ")</f>
        <v>Envio y manejo (pay pal)</v>
      </c>
      <c r="D1718" s="242"/>
      <c r="E1718" s="41">
        <v>1</v>
      </c>
      <c r="F1718" s="40">
        <f>IFERROR(VLOOKUP(B1718,'Productos '!B:G,3,FALSE)," ")</f>
        <v>206.89655172413794</v>
      </c>
      <c r="G1718" s="40">
        <f t="shared" si="63"/>
        <v>206.89655172413794</v>
      </c>
    </row>
    <row r="1719" spans="2:7" x14ac:dyDescent="0.25">
      <c r="B1719" s="41"/>
      <c r="C1719" s="241" t="str">
        <f>IFERROR(VLOOKUP(B1719,'Productos '!B:C,2,FALSE)," ")</f>
        <v xml:space="preserve"> </v>
      </c>
      <c r="D1719" s="242"/>
      <c r="E1719" s="41"/>
      <c r="F1719" s="40" t="str">
        <f>IFERROR(VLOOKUP(B1719,'Productos '!B:G,3,FALSE)," ")</f>
        <v xml:space="preserve"> </v>
      </c>
      <c r="G1719" s="40" t="str">
        <f t="shared" si="63"/>
        <v xml:space="preserve"> </v>
      </c>
    </row>
    <row r="1720" spans="2:7" x14ac:dyDescent="0.25">
      <c r="B1720" s="41"/>
      <c r="C1720" s="241" t="str">
        <f>IFERROR(VLOOKUP(B1720,'Productos '!B:C,2,FALSE)," ")</f>
        <v xml:space="preserve"> </v>
      </c>
      <c r="D1720" s="242"/>
      <c r="E1720" s="41"/>
      <c r="F1720" s="40" t="str">
        <f>IFERROR(VLOOKUP(B1720,'Productos '!B:G,3,FALSE)," ")</f>
        <v xml:space="preserve"> </v>
      </c>
      <c r="G1720" s="40" t="str">
        <f t="shared" si="63"/>
        <v xml:space="preserve"> </v>
      </c>
    </row>
    <row r="1721" spans="2:7" x14ac:dyDescent="0.25">
      <c r="B1721" s="87"/>
      <c r="C1721" s="253" t="s">
        <v>88</v>
      </c>
      <c r="D1721" s="254"/>
      <c r="E1721" s="38">
        <f>SUM(E1714:E1720)</f>
        <v>14</v>
      </c>
      <c r="F1721" s="86" t="s">
        <v>89</v>
      </c>
      <c r="G1721" s="40">
        <f>SUM(G1714:G1720)</f>
        <v>4294.8275862068967</v>
      </c>
    </row>
    <row r="1722" spans="2:7" x14ac:dyDescent="0.25">
      <c r="B1722" s="87"/>
      <c r="C1722" s="87"/>
      <c r="D1722" s="87"/>
      <c r="E1722" s="87"/>
      <c r="F1722" s="86" t="s">
        <v>90</v>
      </c>
      <c r="G1722" s="40">
        <f>G1721*16%</f>
        <v>687.17241379310349</v>
      </c>
    </row>
    <row r="1723" spans="2:7" x14ac:dyDescent="0.25">
      <c r="B1723" s="86" t="s">
        <v>91</v>
      </c>
      <c r="C1723" s="241" t="str">
        <f>IFERROR(VLOOKUP(D1705,'DATOS REGISTRADOS'!B:R,17,FALSE)," ")</f>
        <v>Patricia Malacara Soto</v>
      </c>
      <c r="D1723" s="252"/>
      <c r="E1723" s="242"/>
      <c r="F1723" s="86" t="s">
        <v>57</v>
      </c>
      <c r="G1723" s="68">
        <f>SUM(G1721:G1722)</f>
        <v>4982</v>
      </c>
    </row>
    <row r="1724" spans="2:7" x14ac:dyDescent="0.25">
      <c r="B1724" s="245" t="s">
        <v>129</v>
      </c>
      <c r="C1724" s="245"/>
      <c r="D1724" s="245"/>
      <c r="E1724" s="245"/>
      <c r="F1724" s="245"/>
      <c r="G1724" s="245"/>
    </row>
    <row r="1725" spans="2:7" x14ac:dyDescent="0.25">
      <c r="B1725" s="246" t="s">
        <v>124</v>
      </c>
      <c r="C1725" s="247"/>
      <c r="D1725" s="247"/>
      <c r="E1725" s="247"/>
      <c r="F1725" s="247"/>
      <c r="G1725" s="248"/>
    </row>
    <row r="1726" spans="2:7" x14ac:dyDescent="0.25">
      <c r="B1726" s="54" t="s">
        <v>123</v>
      </c>
      <c r="C1726" s="85"/>
      <c r="D1726" s="245" t="s">
        <v>128</v>
      </c>
      <c r="E1726" s="245"/>
      <c r="F1726" s="245"/>
      <c r="G1726" s="245"/>
    </row>
    <row r="1729" spans="2:7" x14ac:dyDescent="0.25">
      <c r="B1729" s="81"/>
      <c r="C1729" s="81"/>
      <c r="D1729" s="81"/>
      <c r="E1729" s="81"/>
      <c r="F1729" s="81"/>
      <c r="G1729" s="81"/>
    </row>
    <row r="1730" spans="2:7" x14ac:dyDescent="0.25">
      <c r="B1730" s="81"/>
      <c r="C1730" s="250" t="s">
        <v>22</v>
      </c>
      <c r="D1730" s="250"/>
      <c r="E1730" s="42"/>
      <c r="F1730" s="81"/>
      <c r="G1730" s="81"/>
    </row>
    <row r="1731" spans="2:7" x14ac:dyDescent="0.25">
      <c r="B1731" s="81"/>
      <c r="C1731" s="251"/>
      <c r="D1731" s="251"/>
      <c r="E1731" s="81"/>
      <c r="F1731" s="43"/>
      <c r="G1731" s="81"/>
    </row>
    <row r="1732" spans="2:7" x14ac:dyDescent="0.25">
      <c r="B1732" s="81"/>
      <c r="C1732" s="27" t="s">
        <v>77</v>
      </c>
      <c r="D1732" s="41">
        <v>55</v>
      </c>
      <c r="E1732" s="80" t="s">
        <v>125</v>
      </c>
      <c r="F1732" s="56">
        <v>12</v>
      </c>
      <c r="G1732" s="81"/>
    </row>
    <row r="1733" spans="2:7" x14ac:dyDescent="0.25">
      <c r="B1733" s="81"/>
      <c r="C1733" s="29" t="s">
        <v>76</v>
      </c>
      <c r="D1733" s="83">
        <f>IFERROR(VLOOKUP(D1732,'DATOS REGISTRADOS'!B:Q,16,FALSE)," ")</f>
        <v>51</v>
      </c>
      <c r="E1733" s="30" t="s">
        <v>78</v>
      </c>
      <c r="F1733" s="31">
        <f ca="1">TODAY()</f>
        <v>44377</v>
      </c>
      <c r="G1733" s="81"/>
    </row>
    <row r="1734" spans="2:7" x14ac:dyDescent="0.25">
      <c r="B1734" s="256" t="s">
        <v>79</v>
      </c>
      <c r="C1734" s="256"/>
      <c r="D1734" s="256"/>
      <c r="E1734" s="256"/>
      <c r="F1734" s="256"/>
      <c r="G1734" s="256"/>
    </row>
    <row r="1735" spans="2:7" x14ac:dyDescent="0.25">
      <c r="B1735" s="80" t="s">
        <v>80</v>
      </c>
      <c r="C1735" s="257" t="str">
        <f>IFERROR(VLOOKUP(D1732,'DATOS REGISTRADOS'!B:C,2,FALSE)," ")</f>
        <v>Deyanira Guadalupe Alvares Fuentes</v>
      </c>
      <c r="D1735" s="257"/>
      <c r="E1735" s="258"/>
      <c r="F1735" s="258"/>
      <c r="G1735" s="258"/>
    </row>
    <row r="1736" spans="2:7" x14ac:dyDescent="0.25">
      <c r="B1736" s="82" t="s">
        <v>81</v>
      </c>
      <c r="C1736" s="264" t="str">
        <f>IFERROR(VLOOKUP(D1732,'DATOS REGISTRADOS'!B:Q,3,FALSE)," ")</f>
        <v>calle roble# 231 cruz con calle fresnos</v>
      </c>
      <c r="D1736" s="265"/>
      <c r="E1736" s="35" t="s">
        <v>82</v>
      </c>
      <c r="F1736" s="258">
        <f>IFERROR(VLOOKUP(D1732,'DATOS REGISTRADOS'!B:Q,7,FALSE)," ")</f>
        <v>8117610274</v>
      </c>
      <c r="G1736" s="258"/>
    </row>
    <row r="1737" spans="2:7" x14ac:dyDescent="0.25">
      <c r="B1737" s="81"/>
      <c r="C1737" s="243">
        <f>IFERROR(VLOOKUP(D1732,'DATOS REGISTRADOS'!B:Q,4,FALSE)," ")</f>
        <v>0</v>
      </c>
      <c r="D1737" s="244"/>
      <c r="E1737" s="81"/>
      <c r="F1737" s="81"/>
      <c r="G1737" s="81"/>
    </row>
    <row r="1738" spans="2:7" x14ac:dyDescent="0.25">
      <c r="B1738" s="81"/>
      <c r="C1738" s="66" t="str">
        <f>IFERROR(VLOOKUP(D1732,'DATOS REGISTRADOS'!B:Q,5,FALSE)," ")</f>
        <v>Monterrey N.L</v>
      </c>
      <c r="D1738" s="67">
        <f>IFERROR(VLOOKUP(D1732,'DATOS REGISTRADOS'!B:Q,6,FALSE)," ")</f>
        <v>64102</v>
      </c>
      <c r="E1738" s="81"/>
      <c r="F1738" s="81"/>
      <c r="G1738" s="81"/>
    </row>
    <row r="1739" spans="2:7" x14ac:dyDescent="0.25">
      <c r="B1739" s="256" t="s">
        <v>83</v>
      </c>
      <c r="C1739" s="262"/>
      <c r="D1739" s="262"/>
      <c r="E1739" s="256"/>
      <c r="F1739" s="256"/>
      <c r="G1739" s="256"/>
    </row>
    <row r="1740" spans="2:7" x14ac:dyDescent="0.25">
      <c r="B1740" s="80" t="s">
        <v>84</v>
      </c>
      <c r="C1740" s="249" t="s">
        <v>85</v>
      </c>
      <c r="D1740" s="249"/>
      <c r="E1740" s="80" t="s">
        <v>86</v>
      </c>
      <c r="F1740" s="80" t="s">
        <v>87</v>
      </c>
      <c r="G1740" s="80" t="s">
        <v>57</v>
      </c>
    </row>
    <row r="1741" spans="2:7" x14ac:dyDescent="0.25">
      <c r="B1741" s="41" t="s">
        <v>127</v>
      </c>
      <c r="C1741" s="241" t="str">
        <f>IFERROR(VLOOKUP(B1741,'Productos '!B:C,2,FALSE)," ")</f>
        <v>Bono XPRESS 8 productos</v>
      </c>
      <c r="D1741" s="242"/>
      <c r="E1741" s="41">
        <v>1</v>
      </c>
      <c r="F1741" s="40">
        <f>IFERROR(VLOOKUP(B1741,'Productos '!B:G,3,FALSE)," ")</f>
        <v>3017.2413793103447</v>
      </c>
      <c r="G1741" s="40">
        <f>IFERROR((F1741*E1741)," ")</f>
        <v>3017.2413793103447</v>
      </c>
    </row>
    <row r="1742" spans="2:7" x14ac:dyDescent="0.25">
      <c r="B1742" s="41" t="s">
        <v>146</v>
      </c>
      <c r="C1742" s="241" t="str">
        <f>IFERROR(VLOOKUP(B1742,'Productos '!B:C,2,FALSE)," ")</f>
        <v>Gel Minoxidil</v>
      </c>
      <c r="D1742" s="242"/>
      <c r="E1742" s="41">
        <v>8</v>
      </c>
      <c r="F1742" s="40">
        <f>IFERROR(VLOOKUP(B1742,'Productos '!B:G,3,FALSE)," ")</f>
        <v>94.827586206896555</v>
      </c>
      <c r="G1742" s="40">
        <f t="shared" ref="G1742:G1747" si="64">IFERROR((F1742*E1742)," ")</f>
        <v>758.62068965517244</v>
      </c>
    </row>
    <row r="1743" spans="2:7" x14ac:dyDescent="0.25">
      <c r="B1743" s="41" t="s">
        <v>149</v>
      </c>
      <c r="C1743" s="241" t="str">
        <f>IFERROR(VLOOKUP(B1743,'Productos '!B:C,2,FALSE)," ")</f>
        <v>Crema regenerante</v>
      </c>
      <c r="D1743" s="242"/>
      <c r="E1743" s="41">
        <v>2</v>
      </c>
      <c r="F1743" s="40">
        <f>IFERROR(VLOOKUP(B1743,'Productos '!B:G,3,FALSE)," ")</f>
        <v>155.17241379310346</v>
      </c>
      <c r="G1743" s="40">
        <f t="shared" si="64"/>
        <v>310.34482758620692</v>
      </c>
    </row>
    <row r="1744" spans="2:7" x14ac:dyDescent="0.25">
      <c r="B1744" s="41" t="s">
        <v>151</v>
      </c>
      <c r="C1744" s="241" t="str">
        <f>IFERROR(VLOOKUP(B1744,'Productos '!B:C,2,FALSE)," ")</f>
        <v>Pago con Bonificaciones</v>
      </c>
      <c r="D1744" s="242"/>
      <c r="E1744" s="41">
        <v>2</v>
      </c>
      <c r="F1744" s="40">
        <f>IFERROR(VLOOKUP(B1744,'Productos '!B:G,3,FALSE)," ")</f>
        <v>0.86206896551724133</v>
      </c>
      <c r="G1744" s="40">
        <f t="shared" si="64"/>
        <v>1.7241379310344827</v>
      </c>
    </row>
    <row r="1745" spans="2:7" x14ac:dyDescent="0.25">
      <c r="B1745" s="41" t="s">
        <v>152</v>
      </c>
      <c r="C1745" s="241" t="str">
        <f>IFERROR(VLOOKUP(B1745,'Productos '!B:C,2,FALSE)," ")</f>
        <v>Envio y manejo (pay pal)</v>
      </c>
      <c r="D1745" s="242"/>
      <c r="E1745" s="41">
        <v>1</v>
      </c>
      <c r="F1745" s="40">
        <f>IFERROR(VLOOKUP(B1745,'Productos '!B:G,3,FALSE)," ")</f>
        <v>206.89655172413794</v>
      </c>
      <c r="G1745" s="40">
        <f t="shared" si="64"/>
        <v>206.89655172413794</v>
      </c>
    </row>
    <row r="1746" spans="2:7" x14ac:dyDescent="0.25">
      <c r="B1746" s="41"/>
      <c r="C1746" s="241" t="str">
        <f>IFERROR(VLOOKUP(B1746,'Productos '!B:C,2,FALSE)," ")</f>
        <v xml:space="preserve"> </v>
      </c>
      <c r="D1746" s="242"/>
      <c r="E1746" s="41"/>
      <c r="F1746" s="40" t="str">
        <f>IFERROR(VLOOKUP(B1746,'Productos '!B:G,3,FALSE)," ")</f>
        <v xml:space="preserve"> </v>
      </c>
      <c r="G1746" s="40" t="str">
        <f t="shared" si="64"/>
        <v xml:space="preserve"> </v>
      </c>
    </row>
    <row r="1747" spans="2:7" x14ac:dyDescent="0.25">
      <c r="B1747" s="41"/>
      <c r="C1747" s="241" t="str">
        <f>IFERROR(VLOOKUP(B1747,'Productos '!B:C,2,FALSE)," ")</f>
        <v xml:space="preserve"> </v>
      </c>
      <c r="D1747" s="242"/>
      <c r="E1747" s="41"/>
      <c r="F1747" s="40" t="str">
        <f>IFERROR(VLOOKUP(B1747,'Productos '!B:G,3,FALSE)," ")</f>
        <v xml:space="preserve"> </v>
      </c>
      <c r="G1747" s="40" t="str">
        <f t="shared" si="64"/>
        <v xml:space="preserve"> </v>
      </c>
    </row>
    <row r="1748" spans="2:7" x14ac:dyDescent="0.25">
      <c r="B1748" s="81"/>
      <c r="C1748" s="253" t="s">
        <v>88</v>
      </c>
      <c r="D1748" s="254"/>
      <c r="E1748" s="38">
        <f>SUM(E1741:E1747)</f>
        <v>14</v>
      </c>
      <c r="F1748" s="80" t="s">
        <v>89</v>
      </c>
      <c r="G1748" s="40">
        <f>SUM(G1741:G1747)</f>
        <v>4294.8275862068967</v>
      </c>
    </row>
    <row r="1749" spans="2:7" x14ac:dyDescent="0.25">
      <c r="B1749" s="81"/>
      <c r="C1749" s="81"/>
      <c r="D1749" s="81"/>
      <c r="E1749" s="81"/>
      <c r="F1749" s="80" t="s">
        <v>90</v>
      </c>
      <c r="G1749" s="40">
        <f>G1748*16%</f>
        <v>687.17241379310349</v>
      </c>
    </row>
    <row r="1750" spans="2:7" x14ac:dyDescent="0.25">
      <c r="B1750" s="80" t="s">
        <v>91</v>
      </c>
      <c r="C1750" s="241" t="str">
        <f>IFERROR(VLOOKUP(D1732,'DATOS REGISTRADOS'!B:R,17,FALSE)," ")</f>
        <v>Patricia Malacara Soto</v>
      </c>
      <c r="D1750" s="252"/>
      <c r="E1750" s="242"/>
      <c r="F1750" s="80" t="s">
        <v>57</v>
      </c>
      <c r="G1750" s="68">
        <f>SUM(G1748:G1749)</f>
        <v>4982</v>
      </c>
    </row>
    <row r="1751" spans="2:7" x14ac:dyDescent="0.25">
      <c r="B1751" s="245" t="s">
        <v>129</v>
      </c>
      <c r="C1751" s="245"/>
      <c r="D1751" s="245"/>
      <c r="E1751" s="245"/>
      <c r="F1751" s="245"/>
      <c r="G1751" s="245"/>
    </row>
    <row r="1752" spans="2:7" x14ac:dyDescent="0.25">
      <c r="B1752" s="246" t="s">
        <v>124</v>
      </c>
      <c r="C1752" s="247"/>
      <c r="D1752" s="247"/>
      <c r="E1752" s="247"/>
      <c r="F1752" s="247"/>
      <c r="G1752" s="248"/>
    </row>
    <row r="1753" spans="2:7" x14ac:dyDescent="0.25">
      <c r="B1753" s="54" t="s">
        <v>123</v>
      </c>
      <c r="C1753" s="79"/>
      <c r="D1753" s="245" t="s">
        <v>128</v>
      </c>
      <c r="E1753" s="245"/>
      <c r="F1753" s="245"/>
      <c r="G1753" s="245"/>
    </row>
    <row r="1756" spans="2:7" x14ac:dyDescent="0.25">
      <c r="B1756" s="74"/>
      <c r="C1756" s="74"/>
      <c r="D1756" s="74"/>
      <c r="E1756" s="74"/>
      <c r="F1756" s="74"/>
      <c r="G1756" s="74"/>
    </row>
    <row r="1757" spans="2:7" x14ac:dyDescent="0.25">
      <c r="B1757" s="74"/>
      <c r="C1757" s="250" t="s">
        <v>22</v>
      </c>
      <c r="D1757" s="250"/>
      <c r="E1757" s="42"/>
      <c r="F1757" s="74"/>
      <c r="G1757" s="74"/>
    </row>
    <row r="1758" spans="2:7" x14ac:dyDescent="0.25">
      <c r="B1758" s="74"/>
      <c r="C1758" s="251"/>
      <c r="D1758" s="251"/>
      <c r="E1758" s="74"/>
      <c r="F1758" s="43"/>
      <c r="G1758" s="74"/>
    </row>
    <row r="1759" spans="2:7" x14ac:dyDescent="0.25">
      <c r="B1759" s="74"/>
      <c r="C1759" s="27" t="s">
        <v>77</v>
      </c>
      <c r="D1759" s="41">
        <v>54</v>
      </c>
      <c r="E1759" s="78" t="s">
        <v>125</v>
      </c>
      <c r="F1759" s="56">
        <v>11</v>
      </c>
      <c r="G1759" s="74"/>
    </row>
    <row r="1760" spans="2:7" x14ac:dyDescent="0.25">
      <c r="B1760" s="74"/>
      <c r="C1760" s="29" t="s">
        <v>76</v>
      </c>
      <c r="D1760" s="76">
        <f>IFERROR(VLOOKUP(D1759,'DATOS REGISTRADOS'!B:Q,16,FALSE)," ")</f>
        <v>32</v>
      </c>
      <c r="E1760" s="30" t="s">
        <v>78</v>
      </c>
      <c r="F1760" s="31">
        <f ca="1">TODAY()</f>
        <v>44377</v>
      </c>
      <c r="G1760" s="74"/>
    </row>
    <row r="1761" spans="2:7" x14ac:dyDescent="0.25">
      <c r="B1761" s="256" t="s">
        <v>79</v>
      </c>
      <c r="C1761" s="256"/>
      <c r="D1761" s="256"/>
      <c r="E1761" s="256"/>
      <c r="F1761" s="256"/>
      <c r="G1761" s="256"/>
    </row>
    <row r="1762" spans="2:7" x14ac:dyDescent="0.25">
      <c r="B1762" s="78" t="s">
        <v>80</v>
      </c>
      <c r="C1762" s="257" t="str">
        <f>IFERROR(VLOOKUP(D1759,'DATOS REGISTRADOS'!B:C,2,FALSE)," ")</f>
        <v>Teresa Abigail Olvera Rivera</v>
      </c>
      <c r="D1762" s="257"/>
      <c r="E1762" s="258"/>
      <c r="F1762" s="258"/>
      <c r="G1762" s="258"/>
    </row>
    <row r="1763" spans="2:7" x14ac:dyDescent="0.25">
      <c r="B1763" s="75" t="s">
        <v>81</v>
      </c>
      <c r="C1763" s="264" t="str">
        <f>IFERROR(VLOOKUP(D1759,'DATOS REGISTRADOS'!B:Q,3,FALSE)," ")</f>
        <v>Rey Fernando de Aragón 739 entre Cristóbal Colón y puerto de palos</v>
      </c>
      <c r="D1763" s="265"/>
      <c r="E1763" s="35" t="s">
        <v>82</v>
      </c>
      <c r="F1763" s="258">
        <f>IFERROR(VLOOKUP(D1759,'DATOS REGISTRADOS'!B:Q,7,FALSE)," ")</f>
        <v>8127319013</v>
      </c>
      <c r="G1763" s="258"/>
    </row>
    <row r="1764" spans="2:7" x14ac:dyDescent="0.25">
      <c r="B1764" s="74"/>
      <c r="C1764" s="243" t="str">
        <f>IFERROR(VLOOKUP(D1759,'DATOS REGISTRADOS'!B:Q,4,FALSE)," ")</f>
        <v>colonia quinto centenario general Escobedo</v>
      </c>
      <c r="D1764" s="244"/>
      <c r="E1764" s="74"/>
      <c r="F1764" s="74"/>
      <c r="G1764" s="74"/>
    </row>
    <row r="1765" spans="2:7" x14ac:dyDescent="0.25">
      <c r="B1765" s="74"/>
      <c r="C1765" s="66" t="str">
        <f>IFERROR(VLOOKUP(D1759,'DATOS REGISTRADOS'!B:Q,5,FALSE)," ")</f>
        <v>Nuevo Leon</v>
      </c>
      <c r="D1765" s="67">
        <f>IFERROR(VLOOKUP(D1759,'DATOS REGISTRADOS'!B:Q,6,FALSE)," ")</f>
        <v>66072</v>
      </c>
      <c r="E1765" s="74"/>
      <c r="F1765" s="74"/>
      <c r="G1765" s="74"/>
    </row>
    <row r="1766" spans="2:7" x14ac:dyDescent="0.25">
      <c r="B1766" s="256" t="s">
        <v>83</v>
      </c>
      <c r="C1766" s="262"/>
      <c r="D1766" s="262"/>
      <c r="E1766" s="256"/>
      <c r="F1766" s="256"/>
      <c r="G1766" s="256"/>
    </row>
    <row r="1767" spans="2:7" x14ac:dyDescent="0.25">
      <c r="B1767" s="78" t="s">
        <v>84</v>
      </c>
      <c r="C1767" s="249" t="s">
        <v>85</v>
      </c>
      <c r="D1767" s="249"/>
      <c r="E1767" s="78" t="s">
        <v>86</v>
      </c>
      <c r="F1767" s="78" t="s">
        <v>87</v>
      </c>
      <c r="G1767" s="78" t="s">
        <v>57</v>
      </c>
    </row>
    <row r="1768" spans="2:7" x14ac:dyDescent="0.25">
      <c r="B1768" s="41" t="s">
        <v>117</v>
      </c>
      <c r="C1768" s="241" t="str">
        <f>IFERROR(VLOOKUP(B1768,'Productos '!B:C,2,FALSE)," ")</f>
        <v>Bono MAYORISTA 12 productos</v>
      </c>
      <c r="D1768" s="242"/>
      <c r="E1768" s="41">
        <v>1</v>
      </c>
      <c r="F1768" s="40">
        <f>IFERROR(VLOOKUP(B1768,'Productos '!B:G,3,FALSE)," ")</f>
        <v>4310.3448275862065</v>
      </c>
      <c r="G1768" s="40">
        <f>IFERROR((F1768*E1768)," ")</f>
        <v>4310.3448275862065</v>
      </c>
    </row>
    <row r="1769" spans="2:7" x14ac:dyDescent="0.25">
      <c r="B1769" s="41"/>
      <c r="C1769" s="241" t="str">
        <f>IFERROR(VLOOKUP(B1769,'Productos '!B:C,2,FALSE)," ")</f>
        <v xml:space="preserve"> </v>
      </c>
      <c r="D1769" s="242"/>
      <c r="E1769" s="41"/>
      <c r="F1769" s="40" t="str">
        <f>IFERROR(VLOOKUP(B1769,'Productos '!B:G,3,FALSE)," ")</f>
        <v xml:space="preserve"> </v>
      </c>
      <c r="G1769" s="40" t="str">
        <f t="shared" ref="G1769:G1774" si="65">IFERROR((F1769*E1769)," ")</f>
        <v xml:space="preserve"> </v>
      </c>
    </row>
    <row r="1770" spans="2:7" x14ac:dyDescent="0.25">
      <c r="B1770" s="41"/>
      <c r="C1770" s="241" t="str">
        <f>IFERROR(VLOOKUP(B1770,'Productos '!B:C,2,FALSE)," ")</f>
        <v xml:space="preserve"> </v>
      </c>
      <c r="D1770" s="242"/>
      <c r="E1770" s="41"/>
      <c r="F1770" s="40" t="str">
        <f>IFERROR(VLOOKUP(B1770,'Productos '!B:G,3,FALSE)," ")</f>
        <v xml:space="preserve"> </v>
      </c>
      <c r="G1770" s="40" t="str">
        <f t="shared" si="65"/>
        <v xml:space="preserve"> </v>
      </c>
    </row>
    <row r="1771" spans="2:7" x14ac:dyDescent="0.25">
      <c r="B1771" s="41"/>
      <c r="C1771" s="241" t="str">
        <f>IFERROR(VLOOKUP(B1771,'Productos '!B:C,2,FALSE)," ")</f>
        <v xml:space="preserve"> </v>
      </c>
      <c r="D1771" s="242"/>
      <c r="E1771" s="41"/>
      <c r="F1771" s="40" t="str">
        <f>IFERROR(VLOOKUP(B1771,'Productos '!B:G,3,FALSE)," ")</f>
        <v xml:space="preserve"> </v>
      </c>
      <c r="G1771" s="40" t="str">
        <f t="shared" si="65"/>
        <v xml:space="preserve"> </v>
      </c>
    </row>
    <row r="1772" spans="2:7" x14ac:dyDescent="0.25">
      <c r="B1772" s="41"/>
      <c r="C1772" s="241" t="str">
        <f>IFERROR(VLOOKUP(B1772,'Productos '!B:C,2,FALSE)," ")</f>
        <v xml:space="preserve"> </v>
      </c>
      <c r="D1772" s="242"/>
      <c r="E1772" s="41"/>
      <c r="F1772" s="40" t="str">
        <f>IFERROR(VLOOKUP(B1772,'Productos '!B:G,3,FALSE)," ")</f>
        <v xml:space="preserve"> </v>
      </c>
      <c r="G1772" s="40" t="str">
        <f t="shared" si="65"/>
        <v xml:space="preserve"> </v>
      </c>
    </row>
    <row r="1773" spans="2:7" x14ac:dyDescent="0.25">
      <c r="B1773" s="41"/>
      <c r="C1773" s="241" t="str">
        <f>IFERROR(VLOOKUP(B1773,'Productos '!B:C,2,FALSE)," ")</f>
        <v xml:space="preserve"> </v>
      </c>
      <c r="D1773" s="242"/>
      <c r="E1773" s="41"/>
      <c r="F1773" s="40" t="str">
        <f>IFERROR(VLOOKUP(B1773,'Productos '!B:G,3,FALSE)," ")</f>
        <v xml:space="preserve"> </v>
      </c>
      <c r="G1773" s="40" t="str">
        <f t="shared" si="65"/>
        <v xml:space="preserve"> </v>
      </c>
    </row>
    <row r="1774" spans="2:7" x14ac:dyDescent="0.25">
      <c r="B1774" s="41"/>
      <c r="C1774" s="241" t="str">
        <f>IFERROR(VLOOKUP(B1774,'Productos '!B:C,2,FALSE)," ")</f>
        <v xml:space="preserve"> </v>
      </c>
      <c r="D1774" s="242"/>
      <c r="E1774" s="41"/>
      <c r="F1774" s="40" t="str">
        <f>IFERROR(VLOOKUP(B1774,'Productos '!B:G,3,FALSE)," ")</f>
        <v xml:space="preserve"> </v>
      </c>
      <c r="G1774" s="40" t="str">
        <f t="shared" si="65"/>
        <v xml:space="preserve"> </v>
      </c>
    </row>
    <row r="1775" spans="2:7" x14ac:dyDescent="0.25">
      <c r="B1775" s="74"/>
      <c r="C1775" s="253" t="s">
        <v>88</v>
      </c>
      <c r="D1775" s="254"/>
      <c r="E1775" s="38">
        <f>SUM(E1768:E1774)</f>
        <v>1</v>
      </c>
      <c r="F1775" s="78" t="s">
        <v>89</v>
      </c>
      <c r="G1775" s="40">
        <f>SUM(G1768:G1774)</f>
        <v>4310.3448275862065</v>
      </c>
    </row>
    <row r="1776" spans="2:7" x14ac:dyDescent="0.25">
      <c r="B1776" s="74"/>
      <c r="C1776" s="74"/>
      <c r="D1776" s="74"/>
      <c r="E1776" s="74"/>
      <c r="F1776" s="78" t="s">
        <v>90</v>
      </c>
      <c r="G1776" s="40">
        <f>G1775*16%</f>
        <v>689.65517241379303</v>
      </c>
    </row>
    <row r="1777" spans="2:7" x14ac:dyDescent="0.25">
      <c r="B1777" s="78" t="s">
        <v>91</v>
      </c>
      <c r="C1777" s="241" t="str">
        <f>IFERROR(VLOOKUP(D1759,'DATOS REGISTRADOS'!B:R,17,FALSE)," ")</f>
        <v>Teresa Rivera Cortez</v>
      </c>
      <c r="D1777" s="252"/>
      <c r="E1777" s="242"/>
      <c r="F1777" s="78" t="s">
        <v>57</v>
      </c>
      <c r="G1777" s="68">
        <f>SUM(G1775:G1776)</f>
        <v>5000</v>
      </c>
    </row>
    <row r="1778" spans="2:7" x14ac:dyDescent="0.25">
      <c r="B1778" s="245" t="s">
        <v>129</v>
      </c>
      <c r="C1778" s="245"/>
      <c r="D1778" s="245"/>
      <c r="E1778" s="245"/>
      <c r="F1778" s="245"/>
      <c r="G1778" s="245"/>
    </row>
    <row r="1779" spans="2:7" x14ac:dyDescent="0.25">
      <c r="B1779" s="246" t="s">
        <v>124</v>
      </c>
      <c r="C1779" s="247"/>
      <c r="D1779" s="247"/>
      <c r="E1779" s="247"/>
      <c r="F1779" s="247"/>
      <c r="G1779" s="248"/>
    </row>
    <row r="1780" spans="2:7" x14ac:dyDescent="0.25">
      <c r="B1780" s="54" t="s">
        <v>123</v>
      </c>
      <c r="C1780" s="77"/>
      <c r="D1780" s="245" t="s">
        <v>128</v>
      </c>
      <c r="E1780" s="245"/>
      <c r="F1780" s="245"/>
      <c r="G1780" s="245"/>
    </row>
    <row r="1783" spans="2:7" x14ac:dyDescent="0.25">
      <c r="B1783" s="74"/>
      <c r="C1783" s="74"/>
      <c r="D1783" s="74"/>
      <c r="E1783" s="74"/>
      <c r="F1783" s="74"/>
      <c r="G1783" s="74"/>
    </row>
    <row r="1784" spans="2:7" x14ac:dyDescent="0.25">
      <c r="B1784" s="74"/>
      <c r="C1784" s="250" t="s">
        <v>22</v>
      </c>
      <c r="D1784" s="250"/>
      <c r="E1784" s="42"/>
      <c r="F1784" s="74"/>
      <c r="G1784" s="74"/>
    </row>
    <row r="1785" spans="2:7" x14ac:dyDescent="0.25">
      <c r="B1785" s="74"/>
      <c r="C1785" s="251"/>
      <c r="D1785" s="251"/>
      <c r="E1785" s="74"/>
      <c r="F1785" s="43"/>
      <c r="G1785" s="74"/>
    </row>
    <row r="1786" spans="2:7" x14ac:dyDescent="0.25">
      <c r="B1786" s="74"/>
      <c r="C1786" s="27" t="s">
        <v>77</v>
      </c>
      <c r="D1786" s="41">
        <v>54</v>
      </c>
      <c r="E1786" s="78" t="s">
        <v>125</v>
      </c>
      <c r="F1786" s="56">
        <v>10</v>
      </c>
      <c r="G1786" s="74"/>
    </row>
    <row r="1787" spans="2:7" x14ac:dyDescent="0.25">
      <c r="B1787" s="74"/>
      <c r="C1787" s="29" t="s">
        <v>76</v>
      </c>
      <c r="D1787" s="76">
        <f>IFERROR(VLOOKUP(D1786,'DATOS REGISTRADOS'!B:Q,16,FALSE)," ")</f>
        <v>32</v>
      </c>
      <c r="E1787" s="30" t="s">
        <v>78</v>
      </c>
      <c r="F1787" s="31">
        <f ca="1">TODAY()</f>
        <v>44377</v>
      </c>
      <c r="G1787" s="74"/>
    </row>
    <row r="1788" spans="2:7" x14ac:dyDescent="0.25">
      <c r="B1788" s="256" t="s">
        <v>79</v>
      </c>
      <c r="C1788" s="256"/>
      <c r="D1788" s="256"/>
      <c r="E1788" s="256"/>
      <c r="F1788" s="256"/>
      <c r="G1788" s="256"/>
    </row>
    <row r="1789" spans="2:7" x14ac:dyDescent="0.25">
      <c r="B1789" s="78" t="s">
        <v>80</v>
      </c>
      <c r="C1789" s="257" t="str">
        <f>IFERROR(VLOOKUP(D1786,'DATOS REGISTRADOS'!B:C,2,FALSE)," ")</f>
        <v>Teresa Abigail Olvera Rivera</v>
      </c>
      <c r="D1789" s="257"/>
      <c r="E1789" s="258"/>
      <c r="F1789" s="258"/>
      <c r="G1789" s="258"/>
    </row>
    <row r="1790" spans="2:7" x14ac:dyDescent="0.25">
      <c r="B1790" s="75" t="s">
        <v>81</v>
      </c>
      <c r="C1790" s="264" t="str">
        <f>IFERROR(VLOOKUP(D1786,'DATOS REGISTRADOS'!B:Q,3,FALSE)," ")</f>
        <v>Rey Fernando de Aragón 739 entre Cristóbal Colón y puerto de palos</v>
      </c>
      <c r="D1790" s="265"/>
      <c r="E1790" s="35" t="s">
        <v>82</v>
      </c>
      <c r="F1790" s="258">
        <f>IFERROR(VLOOKUP(D1786,'DATOS REGISTRADOS'!B:Q,7,FALSE)," ")</f>
        <v>8127319013</v>
      </c>
      <c r="G1790" s="258"/>
    </row>
    <row r="1791" spans="2:7" x14ac:dyDescent="0.25">
      <c r="B1791" s="74"/>
      <c r="C1791" s="243" t="str">
        <f>IFERROR(VLOOKUP(D1786,'DATOS REGISTRADOS'!B:Q,4,FALSE)," ")</f>
        <v>colonia quinto centenario general Escobedo</v>
      </c>
      <c r="D1791" s="244"/>
      <c r="E1791" s="74"/>
      <c r="F1791" s="74"/>
      <c r="G1791" s="74"/>
    </row>
    <row r="1792" spans="2:7" x14ac:dyDescent="0.25">
      <c r="B1792" s="74"/>
      <c r="C1792" s="66" t="str">
        <f>IFERROR(VLOOKUP(D1786,'DATOS REGISTRADOS'!B:Q,5,FALSE)," ")</f>
        <v>Nuevo Leon</v>
      </c>
      <c r="D1792" s="67">
        <f>IFERROR(VLOOKUP(D1786,'DATOS REGISTRADOS'!B:Q,6,FALSE)," ")</f>
        <v>66072</v>
      </c>
      <c r="E1792" s="74"/>
      <c r="F1792" s="74"/>
      <c r="G1792" s="74"/>
    </row>
    <row r="1793" spans="2:7" x14ac:dyDescent="0.25">
      <c r="B1793" s="256" t="s">
        <v>83</v>
      </c>
      <c r="C1793" s="262"/>
      <c r="D1793" s="262"/>
      <c r="E1793" s="256"/>
      <c r="F1793" s="256"/>
      <c r="G1793" s="256"/>
    </row>
    <row r="1794" spans="2:7" x14ac:dyDescent="0.25">
      <c r="B1794" s="78" t="s">
        <v>84</v>
      </c>
      <c r="C1794" s="249" t="s">
        <v>85</v>
      </c>
      <c r="D1794" s="249"/>
      <c r="E1794" s="78" t="s">
        <v>86</v>
      </c>
      <c r="F1794" s="78" t="s">
        <v>87</v>
      </c>
      <c r="G1794" s="78" t="s">
        <v>57</v>
      </c>
    </row>
    <row r="1795" spans="2:7" x14ac:dyDescent="0.25">
      <c r="B1795" s="41" t="s">
        <v>117</v>
      </c>
      <c r="C1795" s="241" t="str">
        <f>IFERROR(VLOOKUP(B1795,'Productos '!B:C,2,FALSE)," ")</f>
        <v>Bono MAYORISTA 12 productos</v>
      </c>
      <c r="D1795" s="242"/>
      <c r="E1795" s="41">
        <v>1</v>
      </c>
      <c r="F1795" s="40">
        <f>IFERROR(VLOOKUP(B1795,'Productos '!B:G,3,FALSE)," ")</f>
        <v>4310.3448275862065</v>
      </c>
      <c r="G1795" s="40">
        <f>IFERROR((F1795*E1795)," ")</f>
        <v>4310.3448275862065</v>
      </c>
    </row>
    <row r="1796" spans="2:7" x14ac:dyDescent="0.25">
      <c r="B1796" s="41"/>
      <c r="C1796" s="241" t="str">
        <f>IFERROR(VLOOKUP(B1796,'Productos '!B:C,2,FALSE)," ")</f>
        <v xml:space="preserve"> </v>
      </c>
      <c r="D1796" s="242"/>
      <c r="E1796" s="41"/>
      <c r="F1796" s="40" t="str">
        <f>IFERROR(VLOOKUP(B1796,'Productos '!B:G,3,FALSE)," ")</f>
        <v xml:space="preserve"> </v>
      </c>
      <c r="G1796" s="40" t="str">
        <f t="shared" ref="G1796:G1801" si="66">IFERROR((F1796*E1796)," ")</f>
        <v xml:space="preserve"> </v>
      </c>
    </row>
    <row r="1797" spans="2:7" x14ac:dyDescent="0.25">
      <c r="B1797" s="41"/>
      <c r="C1797" s="241" t="str">
        <f>IFERROR(VLOOKUP(B1797,'Productos '!B:C,2,FALSE)," ")</f>
        <v xml:space="preserve"> </v>
      </c>
      <c r="D1797" s="242"/>
      <c r="E1797" s="41"/>
      <c r="F1797" s="40" t="str">
        <f>IFERROR(VLOOKUP(B1797,'Productos '!B:G,3,FALSE)," ")</f>
        <v xml:space="preserve"> </v>
      </c>
      <c r="G1797" s="40" t="str">
        <f t="shared" si="66"/>
        <v xml:space="preserve"> </v>
      </c>
    </row>
    <row r="1798" spans="2:7" x14ac:dyDescent="0.25">
      <c r="B1798" s="41"/>
      <c r="C1798" s="241" t="str">
        <f>IFERROR(VLOOKUP(B1798,'Productos '!B:C,2,FALSE)," ")</f>
        <v xml:space="preserve"> </v>
      </c>
      <c r="D1798" s="242"/>
      <c r="E1798" s="41"/>
      <c r="F1798" s="40" t="str">
        <f>IFERROR(VLOOKUP(B1798,'Productos '!B:G,3,FALSE)," ")</f>
        <v xml:space="preserve"> </v>
      </c>
      <c r="G1798" s="40" t="str">
        <f t="shared" si="66"/>
        <v xml:space="preserve"> </v>
      </c>
    </row>
    <row r="1799" spans="2:7" x14ac:dyDescent="0.25">
      <c r="B1799" s="41"/>
      <c r="C1799" s="241" t="str">
        <f>IFERROR(VLOOKUP(B1799,'Productos '!B:C,2,FALSE)," ")</f>
        <v xml:space="preserve"> </v>
      </c>
      <c r="D1799" s="242"/>
      <c r="E1799" s="41"/>
      <c r="F1799" s="40" t="str">
        <f>IFERROR(VLOOKUP(B1799,'Productos '!B:G,3,FALSE)," ")</f>
        <v xml:space="preserve"> </v>
      </c>
      <c r="G1799" s="40" t="str">
        <f t="shared" si="66"/>
        <v xml:space="preserve"> </v>
      </c>
    </row>
    <row r="1800" spans="2:7" x14ac:dyDescent="0.25">
      <c r="B1800" s="41"/>
      <c r="C1800" s="241" t="str">
        <f>IFERROR(VLOOKUP(B1800,'Productos '!B:C,2,FALSE)," ")</f>
        <v xml:space="preserve"> </v>
      </c>
      <c r="D1800" s="242"/>
      <c r="E1800" s="41"/>
      <c r="F1800" s="40" t="str">
        <f>IFERROR(VLOOKUP(B1800,'Productos '!B:G,3,FALSE)," ")</f>
        <v xml:space="preserve"> </v>
      </c>
      <c r="G1800" s="40" t="str">
        <f t="shared" si="66"/>
        <v xml:space="preserve"> </v>
      </c>
    </row>
    <row r="1801" spans="2:7" x14ac:dyDescent="0.25">
      <c r="B1801" s="41"/>
      <c r="C1801" s="241" t="str">
        <f>IFERROR(VLOOKUP(B1801,'Productos '!B:C,2,FALSE)," ")</f>
        <v xml:space="preserve"> </v>
      </c>
      <c r="D1801" s="242"/>
      <c r="E1801" s="41"/>
      <c r="F1801" s="40" t="str">
        <f>IFERROR(VLOOKUP(B1801,'Productos '!B:G,3,FALSE)," ")</f>
        <v xml:space="preserve"> </v>
      </c>
      <c r="G1801" s="40" t="str">
        <f t="shared" si="66"/>
        <v xml:space="preserve"> </v>
      </c>
    </row>
    <row r="1802" spans="2:7" x14ac:dyDescent="0.25">
      <c r="B1802" s="74"/>
      <c r="C1802" s="253" t="s">
        <v>88</v>
      </c>
      <c r="D1802" s="254"/>
      <c r="E1802" s="38">
        <f>SUM(E1795:E1801)</f>
        <v>1</v>
      </c>
      <c r="F1802" s="78" t="s">
        <v>89</v>
      </c>
      <c r="G1802" s="40">
        <f>SUM(G1795:G1801)</f>
        <v>4310.3448275862065</v>
      </c>
    </row>
    <row r="1803" spans="2:7" x14ac:dyDescent="0.25">
      <c r="B1803" s="74"/>
      <c r="C1803" s="74"/>
      <c r="D1803" s="74"/>
      <c r="E1803" s="74"/>
      <c r="F1803" s="78" t="s">
        <v>90</v>
      </c>
      <c r="G1803" s="40">
        <f>G1802*16%</f>
        <v>689.65517241379303</v>
      </c>
    </row>
    <row r="1804" spans="2:7" x14ac:dyDescent="0.25">
      <c r="B1804" s="78" t="s">
        <v>91</v>
      </c>
      <c r="C1804" s="241" t="str">
        <f>IFERROR(VLOOKUP(D1786,'DATOS REGISTRADOS'!B:R,17,FALSE)," ")</f>
        <v>Teresa Rivera Cortez</v>
      </c>
      <c r="D1804" s="252"/>
      <c r="E1804" s="242"/>
      <c r="F1804" s="78" t="s">
        <v>57</v>
      </c>
      <c r="G1804" s="68">
        <f>SUM(G1802:G1803)</f>
        <v>5000</v>
      </c>
    </row>
    <row r="1805" spans="2:7" x14ac:dyDescent="0.25">
      <c r="B1805" s="245" t="s">
        <v>129</v>
      </c>
      <c r="C1805" s="245"/>
      <c r="D1805" s="245"/>
      <c r="E1805" s="245"/>
      <c r="F1805" s="245"/>
      <c r="G1805" s="245"/>
    </row>
    <row r="1806" spans="2:7" x14ac:dyDescent="0.25">
      <c r="B1806" s="246" t="s">
        <v>124</v>
      </c>
      <c r="C1806" s="247"/>
      <c r="D1806" s="247"/>
      <c r="E1806" s="247"/>
      <c r="F1806" s="247"/>
      <c r="G1806" s="248"/>
    </row>
    <row r="1807" spans="2:7" x14ac:dyDescent="0.25">
      <c r="B1807" s="54" t="s">
        <v>123</v>
      </c>
      <c r="C1807" s="77"/>
      <c r="D1807" s="245" t="s">
        <v>128</v>
      </c>
      <c r="E1807" s="245"/>
      <c r="F1807" s="245"/>
      <c r="G1807" s="245"/>
    </row>
    <row r="1810" spans="2:7" x14ac:dyDescent="0.25">
      <c r="B1810" s="51"/>
      <c r="C1810" s="51"/>
      <c r="D1810" s="51"/>
      <c r="E1810" s="51"/>
      <c r="F1810" s="51"/>
      <c r="G1810" s="51"/>
    </row>
    <row r="1811" spans="2:7" x14ac:dyDescent="0.25">
      <c r="B1811" s="51"/>
      <c r="C1811" s="250" t="s">
        <v>22</v>
      </c>
      <c r="D1811" s="250"/>
      <c r="E1811" s="42"/>
      <c r="F1811" s="51"/>
      <c r="G1811" s="51"/>
    </row>
    <row r="1812" spans="2:7" x14ac:dyDescent="0.25">
      <c r="B1812" s="51"/>
      <c r="C1812" s="251"/>
      <c r="D1812" s="251"/>
      <c r="E1812" s="51"/>
      <c r="F1812" s="43"/>
      <c r="G1812" s="51"/>
    </row>
    <row r="1813" spans="2:7" x14ac:dyDescent="0.25">
      <c r="B1813" s="51"/>
      <c r="C1813" s="27" t="s">
        <v>77</v>
      </c>
      <c r="D1813" s="41">
        <v>5</v>
      </c>
      <c r="E1813" s="50" t="s">
        <v>125</v>
      </c>
      <c r="F1813" s="56">
        <v>9</v>
      </c>
      <c r="G1813" s="51"/>
    </row>
    <row r="1814" spans="2:7" x14ac:dyDescent="0.25">
      <c r="B1814" s="51"/>
      <c r="C1814" s="29" t="s">
        <v>76</v>
      </c>
      <c r="D1814" s="53">
        <f>IFERROR(VLOOKUP(D1813,'DATOS REGISTRADOS'!B:Q,16,FALSE)," ")</f>
        <v>4</v>
      </c>
      <c r="E1814" s="30" t="s">
        <v>78</v>
      </c>
      <c r="F1814" s="31">
        <f ca="1">TODAY()</f>
        <v>44377</v>
      </c>
      <c r="G1814" s="51"/>
    </row>
    <row r="1815" spans="2:7" x14ac:dyDescent="0.25">
      <c r="B1815" s="256" t="s">
        <v>79</v>
      </c>
      <c r="C1815" s="256"/>
      <c r="D1815" s="256"/>
      <c r="E1815" s="256"/>
      <c r="F1815" s="256"/>
      <c r="G1815" s="256"/>
    </row>
    <row r="1816" spans="2:7" x14ac:dyDescent="0.25">
      <c r="B1816" s="50" t="s">
        <v>80</v>
      </c>
      <c r="C1816" s="257" t="str">
        <f>IFERROR(VLOOKUP(D1813,'DATOS REGISTRADOS'!B:C,2,FALSE)," ")</f>
        <v>BLACA ESTHER MELO ORTIZ</v>
      </c>
      <c r="D1816" s="257"/>
      <c r="E1816" s="258"/>
      <c r="F1816" s="258"/>
      <c r="G1816" s="258"/>
    </row>
    <row r="1817" spans="2:7" x14ac:dyDescent="0.25">
      <c r="B1817" s="52" t="s">
        <v>81</v>
      </c>
      <c r="C1817" s="266" t="str">
        <f>IFERROR(VLOOKUP(D1813,'DATOS REGISTRADOS'!B:Q,3,FALSE)," ")</f>
        <v>CALLE 1 FRANCISCO RIVERA SMZ 5 MZ 10 LT 23</v>
      </c>
      <c r="D1817" s="267"/>
      <c r="E1817" s="35" t="s">
        <v>82</v>
      </c>
      <c r="F1817" s="258">
        <f>IFERROR(VLOOKUP(D1813,'DATOS REGISTRADOS'!B:Q,7,FALSE)," ")</f>
        <v>5513882272</v>
      </c>
      <c r="G1817" s="258"/>
    </row>
    <row r="1818" spans="2:7" x14ac:dyDescent="0.25">
      <c r="B1818" s="51"/>
      <c r="C1818" s="268" t="str">
        <f>IFERROR(VLOOKUP(D1813,'DATOS REGISTRADOS'!B:Q,4,FALSE)," ")</f>
        <v>U HAB. VICENTE GUERRERO, IZTAPALAPA</v>
      </c>
      <c r="D1818" s="269"/>
      <c r="E1818" s="51"/>
      <c r="F1818" s="51"/>
      <c r="G1818" s="51"/>
    </row>
    <row r="1819" spans="2:7" x14ac:dyDescent="0.25">
      <c r="B1819" s="51"/>
      <c r="C1819" s="36" t="str">
        <f>IFERROR(VLOOKUP(D1813,'DATOS REGISTRADOS'!B:Q,5,FALSE)," ")</f>
        <v>CDMX</v>
      </c>
      <c r="D1819" s="37">
        <f>IFERROR(VLOOKUP(D1813,'DATOS REGISTRADOS'!B:Q,6,FALSE)," ")</f>
        <v>9200</v>
      </c>
      <c r="E1819" s="51"/>
      <c r="F1819" s="51"/>
      <c r="G1819" s="51"/>
    </row>
    <row r="1820" spans="2:7" x14ac:dyDescent="0.25">
      <c r="B1820" s="256" t="s">
        <v>83</v>
      </c>
      <c r="C1820" s="262"/>
      <c r="D1820" s="262"/>
      <c r="E1820" s="256"/>
      <c r="F1820" s="256"/>
      <c r="G1820" s="256"/>
    </row>
    <row r="1821" spans="2:7" x14ac:dyDescent="0.25">
      <c r="B1821" s="50" t="s">
        <v>84</v>
      </c>
      <c r="C1821" s="249" t="s">
        <v>85</v>
      </c>
      <c r="D1821" s="249"/>
      <c r="E1821" s="50" t="s">
        <v>86</v>
      </c>
      <c r="F1821" s="50" t="s">
        <v>87</v>
      </c>
      <c r="G1821" s="50" t="s">
        <v>57</v>
      </c>
    </row>
    <row r="1822" spans="2:7" x14ac:dyDescent="0.25">
      <c r="B1822" s="41"/>
      <c r="C1822" s="241" t="str">
        <f>IFERROR(VLOOKUP(B1822,'Productos '!B:C,2,FALSE)," ")</f>
        <v xml:space="preserve"> </v>
      </c>
      <c r="D1822" s="242"/>
      <c r="E1822" s="41"/>
      <c r="F1822" s="40" t="str">
        <f>IFERROR(VLOOKUP(B1822,'Productos '!B:G,3,FALSE)," ")</f>
        <v xml:space="preserve"> </v>
      </c>
      <c r="G1822" s="40" t="str">
        <f>IFERROR((F1822*E1822)," ")</f>
        <v xml:space="preserve"> </v>
      </c>
    </row>
    <row r="1823" spans="2:7" x14ac:dyDescent="0.25">
      <c r="B1823" s="41"/>
      <c r="C1823" s="241" t="str">
        <f>IFERROR(VLOOKUP(B1823,'Productos '!B:C,2,FALSE)," ")</f>
        <v xml:space="preserve"> </v>
      </c>
      <c r="D1823" s="242"/>
      <c r="E1823" s="41"/>
      <c r="F1823" s="40" t="str">
        <f>IFERROR(VLOOKUP(B1823,'Productos '!B:G,3,FALSE)," ")</f>
        <v xml:space="preserve"> </v>
      </c>
      <c r="G1823" s="40" t="str">
        <f t="shared" ref="G1823:G1828" si="67">IFERROR((F1823*E1823)," ")</f>
        <v xml:space="preserve"> </v>
      </c>
    </row>
    <row r="1824" spans="2:7" x14ac:dyDescent="0.25">
      <c r="B1824" s="41"/>
      <c r="C1824" s="241" t="str">
        <f>IFERROR(VLOOKUP(B1824,'Productos '!B:C,2,FALSE)," ")</f>
        <v xml:space="preserve"> </v>
      </c>
      <c r="D1824" s="242"/>
      <c r="E1824" s="41"/>
      <c r="F1824" s="40" t="str">
        <f>IFERROR(VLOOKUP(B1824,'Productos '!B:G,3,FALSE)," ")</f>
        <v xml:space="preserve"> </v>
      </c>
      <c r="G1824" s="40" t="str">
        <f t="shared" si="67"/>
        <v xml:space="preserve"> </v>
      </c>
    </row>
    <row r="1825" spans="2:7" x14ac:dyDescent="0.25">
      <c r="B1825" s="41"/>
      <c r="C1825" s="241" t="str">
        <f>IFERROR(VLOOKUP(B1825,'Productos '!B:C,2,FALSE)," ")</f>
        <v xml:space="preserve"> </v>
      </c>
      <c r="D1825" s="242"/>
      <c r="E1825" s="41"/>
      <c r="F1825" s="40" t="str">
        <f>IFERROR(VLOOKUP(B1825,'Productos '!B:G,3,FALSE)," ")</f>
        <v xml:space="preserve"> </v>
      </c>
      <c r="G1825" s="40" t="str">
        <f t="shared" si="67"/>
        <v xml:space="preserve"> </v>
      </c>
    </row>
    <row r="1826" spans="2:7" x14ac:dyDescent="0.25">
      <c r="B1826" s="41"/>
      <c r="C1826" s="241" t="str">
        <f>IFERROR(VLOOKUP(B1826,'Productos '!B:C,2,FALSE)," ")</f>
        <v xml:space="preserve"> </v>
      </c>
      <c r="D1826" s="242"/>
      <c r="E1826" s="41"/>
      <c r="F1826" s="40" t="str">
        <f>IFERROR(VLOOKUP(B1826,'Productos '!B:G,3,FALSE)," ")</f>
        <v xml:space="preserve"> </v>
      </c>
      <c r="G1826" s="40" t="str">
        <f t="shared" si="67"/>
        <v xml:space="preserve"> </v>
      </c>
    </row>
    <row r="1827" spans="2:7" x14ac:dyDescent="0.25">
      <c r="B1827" s="41"/>
      <c r="C1827" s="241" t="str">
        <f>IFERROR(VLOOKUP(B1827,'Productos '!B:C,2,FALSE)," ")</f>
        <v xml:space="preserve"> </v>
      </c>
      <c r="D1827" s="242"/>
      <c r="E1827" s="41"/>
      <c r="F1827" s="40" t="str">
        <f>IFERROR(VLOOKUP(B1827,'Productos '!B:G,3,FALSE)," ")</f>
        <v xml:space="preserve"> </v>
      </c>
      <c r="G1827" s="40" t="str">
        <f t="shared" si="67"/>
        <v xml:space="preserve"> </v>
      </c>
    </row>
    <row r="1828" spans="2:7" x14ac:dyDescent="0.25">
      <c r="B1828" s="41"/>
      <c r="C1828" s="241" t="str">
        <f>IFERROR(VLOOKUP(B1828,'Productos '!B:C,2,FALSE)," ")</f>
        <v xml:space="preserve"> </v>
      </c>
      <c r="D1828" s="242"/>
      <c r="E1828" s="41"/>
      <c r="F1828" s="40" t="str">
        <f>IFERROR(VLOOKUP(B1828,'Productos '!B:G,3,FALSE)," ")</f>
        <v xml:space="preserve"> </v>
      </c>
      <c r="G1828" s="40" t="str">
        <f t="shared" si="67"/>
        <v xml:space="preserve"> </v>
      </c>
    </row>
    <row r="1829" spans="2:7" x14ac:dyDescent="0.25">
      <c r="B1829" s="51"/>
      <c r="C1829" s="253" t="s">
        <v>88</v>
      </c>
      <c r="D1829" s="254"/>
      <c r="E1829" s="38">
        <f>SUM(E1822:E1828)</f>
        <v>0</v>
      </c>
      <c r="F1829" s="50" t="s">
        <v>89</v>
      </c>
      <c r="G1829" s="40">
        <f>SUM(G1822:G1828)</f>
        <v>0</v>
      </c>
    </row>
    <row r="1830" spans="2:7" x14ac:dyDescent="0.25">
      <c r="B1830" s="51"/>
      <c r="C1830" s="51"/>
      <c r="D1830" s="51"/>
      <c r="E1830" s="51"/>
      <c r="F1830" s="50" t="s">
        <v>90</v>
      </c>
      <c r="G1830" s="40">
        <f>G1829*16%</f>
        <v>0</v>
      </c>
    </row>
    <row r="1831" spans="2:7" x14ac:dyDescent="0.25">
      <c r="B1831" s="50" t="s">
        <v>91</v>
      </c>
      <c r="C1831" s="241" t="str">
        <f>IFERROR(VLOOKUP(D1813,'DATOS REGISTRADOS'!B:R,17,FALSE)," ")</f>
        <v>DAVID PARRILLA DE LEON</v>
      </c>
      <c r="D1831" s="252"/>
      <c r="E1831" s="242"/>
      <c r="F1831" s="50" t="s">
        <v>57</v>
      </c>
      <c r="G1831" s="40">
        <f>SUM(G1829:G1830)</f>
        <v>0</v>
      </c>
    </row>
    <row r="1832" spans="2:7" x14ac:dyDescent="0.25">
      <c r="B1832" s="245" t="s">
        <v>129</v>
      </c>
      <c r="C1832" s="245"/>
      <c r="D1832" s="245"/>
      <c r="E1832" s="245"/>
      <c r="F1832" s="245"/>
      <c r="G1832" s="245"/>
    </row>
    <row r="1833" spans="2:7" x14ac:dyDescent="0.25">
      <c r="B1833" s="246" t="s">
        <v>124</v>
      </c>
      <c r="C1833" s="247"/>
      <c r="D1833" s="247"/>
      <c r="E1833" s="247"/>
      <c r="F1833" s="247"/>
      <c r="G1833" s="248"/>
    </row>
    <row r="1834" spans="2:7" x14ac:dyDescent="0.25">
      <c r="B1834" s="54" t="s">
        <v>123</v>
      </c>
      <c r="C1834" s="55"/>
      <c r="D1834" s="245" t="s">
        <v>128</v>
      </c>
      <c r="E1834" s="245"/>
      <c r="F1834" s="245"/>
      <c r="G1834" s="245"/>
    </row>
    <row r="1837" spans="2:7" x14ac:dyDescent="0.25">
      <c r="B1837" s="51"/>
      <c r="C1837" s="51"/>
      <c r="D1837" s="51"/>
      <c r="E1837" s="51"/>
      <c r="F1837" s="51"/>
      <c r="G1837" s="51"/>
    </row>
    <row r="1838" spans="2:7" x14ac:dyDescent="0.25">
      <c r="B1838" s="51"/>
      <c r="C1838" s="250" t="s">
        <v>22</v>
      </c>
      <c r="D1838" s="250"/>
      <c r="E1838" s="42"/>
      <c r="F1838" s="51"/>
      <c r="G1838" s="51"/>
    </row>
    <row r="1839" spans="2:7" x14ac:dyDescent="0.25">
      <c r="B1839" s="51"/>
      <c r="C1839" s="251"/>
      <c r="D1839" s="251"/>
      <c r="E1839" s="51"/>
      <c r="F1839" s="43"/>
      <c r="G1839" s="51"/>
    </row>
    <row r="1840" spans="2:7" x14ac:dyDescent="0.25">
      <c r="B1840" s="51"/>
      <c r="C1840" s="27" t="s">
        <v>77</v>
      </c>
      <c r="D1840" s="41">
        <v>53</v>
      </c>
      <c r="E1840" s="50" t="s">
        <v>125</v>
      </c>
      <c r="F1840" s="56">
        <v>8</v>
      </c>
      <c r="G1840" s="51"/>
    </row>
    <row r="1841" spans="2:7" x14ac:dyDescent="0.25">
      <c r="B1841" s="51"/>
      <c r="C1841" s="29" t="s">
        <v>76</v>
      </c>
      <c r="D1841" s="53">
        <f>IFERROR(VLOOKUP(D1840,'DATOS REGISTRADOS'!B:P,15,FALSE)," ")</f>
        <v>35</v>
      </c>
      <c r="E1841" s="30" t="s">
        <v>78</v>
      </c>
      <c r="F1841" s="31">
        <f ca="1">TODAY()</f>
        <v>44377</v>
      </c>
      <c r="G1841" s="51"/>
    </row>
    <row r="1842" spans="2:7" x14ac:dyDescent="0.25">
      <c r="B1842" s="256" t="s">
        <v>79</v>
      </c>
      <c r="C1842" s="256"/>
      <c r="D1842" s="256"/>
      <c r="E1842" s="256"/>
      <c r="F1842" s="256"/>
      <c r="G1842" s="256"/>
    </row>
    <row r="1843" spans="2:7" x14ac:dyDescent="0.25">
      <c r="B1843" s="50" t="s">
        <v>80</v>
      </c>
      <c r="C1843" s="257" t="str">
        <f>IFERROR(VLOOKUP(D1840,'DATOS REGISTRADOS'!B:C,2,FALSE)," ")</f>
        <v xml:space="preserve"> Maria Elena Cantu Gonzalez</v>
      </c>
      <c r="D1843" s="257"/>
      <c r="E1843" s="258"/>
      <c r="F1843" s="258"/>
      <c r="G1843" s="258"/>
    </row>
    <row r="1844" spans="2:7" x14ac:dyDescent="0.25">
      <c r="B1844" s="52" t="s">
        <v>81</v>
      </c>
      <c r="C1844" s="266" t="str">
        <f>IFERROR(VLOOKUP(D1840,'DATOS REGISTRADOS'!B:Q,3,FALSE)," ")</f>
        <v>calle dalia #526 hacienda las margaritas</v>
      </c>
      <c r="D1844" s="267"/>
      <c r="E1844" s="35" t="s">
        <v>82</v>
      </c>
      <c r="F1844" s="258">
        <f>IFERROR(VLOOKUP(D1840,'DATOS REGISTRADOS'!B:Q,7,FALSE)," ")</f>
        <v>8130763933</v>
      </c>
      <c r="G1844" s="258"/>
    </row>
    <row r="1845" spans="2:7" x14ac:dyDescent="0.25">
      <c r="B1845" s="51"/>
      <c r="C1845" s="268" t="str">
        <f>IFERROR(VLOOKUP(D1840,'DATOS REGISTRADOS'!B:Q,4,FALSE)," ")</f>
        <v>entre lirios y girasol</v>
      </c>
      <c r="D1845" s="269"/>
      <c r="E1845" s="51"/>
      <c r="F1845" s="51"/>
      <c r="G1845" s="51"/>
    </row>
    <row r="1846" spans="2:7" x14ac:dyDescent="0.25">
      <c r="B1846" s="51"/>
      <c r="C1846" s="36" t="str">
        <f>IFERROR(VLOOKUP(D1840,'DATOS REGISTRADOS'!B:Q,5,FALSE)," ")</f>
        <v>apodaca N.L</v>
      </c>
      <c r="D1846" s="37">
        <f>IFERROR(VLOOKUP(D1840,'DATOS REGISTRADOS'!B:Q,6,FALSE)," ")</f>
        <v>66647</v>
      </c>
      <c r="E1846" s="51"/>
      <c r="F1846" s="51"/>
      <c r="G1846" s="51"/>
    </row>
    <row r="1847" spans="2:7" x14ac:dyDescent="0.25">
      <c r="B1847" s="256" t="s">
        <v>83</v>
      </c>
      <c r="C1847" s="262"/>
      <c r="D1847" s="262"/>
      <c r="E1847" s="256"/>
      <c r="F1847" s="256"/>
      <c r="G1847" s="256"/>
    </row>
    <row r="1848" spans="2:7" x14ac:dyDescent="0.25">
      <c r="B1848" s="50" t="s">
        <v>84</v>
      </c>
      <c r="C1848" s="249" t="s">
        <v>85</v>
      </c>
      <c r="D1848" s="249"/>
      <c r="E1848" s="50" t="s">
        <v>86</v>
      </c>
      <c r="F1848" s="50" t="s">
        <v>87</v>
      </c>
      <c r="G1848" s="50" t="s">
        <v>57</v>
      </c>
    </row>
    <row r="1849" spans="2:7" x14ac:dyDescent="0.25">
      <c r="B1849" s="41" t="s">
        <v>127</v>
      </c>
      <c r="C1849" s="241" t="str">
        <f>IFERROR(VLOOKUP(B1849,'Productos '!B:C,2,FALSE)," ")</f>
        <v>Bono XPRESS 8 productos</v>
      </c>
      <c r="D1849" s="242"/>
      <c r="E1849" s="41">
        <v>1</v>
      </c>
      <c r="F1849" s="40">
        <f>IFERROR(VLOOKUP(B1849,'Productos '!B:G,3,FALSE)," ")</f>
        <v>3017.2413793103447</v>
      </c>
      <c r="G1849" s="40">
        <f>IFERROR((F1849*E1849)," ")</f>
        <v>3017.2413793103447</v>
      </c>
    </row>
    <row r="1850" spans="2:7" x14ac:dyDescent="0.25">
      <c r="B1850" s="41"/>
      <c r="C1850" s="241" t="str">
        <f>IFERROR(VLOOKUP(B1850,'Productos '!B:C,2,FALSE)," ")</f>
        <v xml:space="preserve"> </v>
      </c>
      <c r="D1850" s="242"/>
      <c r="E1850" s="41"/>
      <c r="F1850" s="40" t="str">
        <f>IFERROR(VLOOKUP(B1850,'Productos '!B:G,3,FALSE)," ")</f>
        <v xml:space="preserve"> </v>
      </c>
      <c r="G1850" s="40" t="str">
        <f t="shared" ref="G1850:G1855" si="68">IFERROR((F1850*E1850)," ")</f>
        <v xml:space="preserve"> </v>
      </c>
    </row>
    <row r="1851" spans="2:7" x14ac:dyDescent="0.25">
      <c r="B1851" s="41"/>
      <c r="C1851" s="241" t="str">
        <f>IFERROR(VLOOKUP(B1851,'Productos '!B:C,2,FALSE)," ")</f>
        <v xml:space="preserve"> </v>
      </c>
      <c r="D1851" s="242"/>
      <c r="E1851" s="41"/>
      <c r="F1851" s="40" t="str">
        <f>IFERROR(VLOOKUP(B1851,'Productos '!B:G,3,FALSE)," ")</f>
        <v xml:space="preserve"> </v>
      </c>
      <c r="G1851" s="40" t="str">
        <f t="shared" si="68"/>
        <v xml:space="preserve"> </v>
      </c>
    </row>
    <row r="1852" spans="2:7" x14ac:dyDescent="0.25">
      <c r="B1852" s="41"/>
      <c r="C1852" s="241" t="str">
        <f>IFERROR(VLOOKUP(B1852,'Productos '!B:C,2,FALSE)," ")</f>
        <v xml:space="preserve"> </v>
      </c>
      <c r="D1852" s="242"/>
      <c r="E1852" s="41"/>
      <c r="F1852" s="40" t="str">
        <f>IFERROR(VLOOKUP(B1852,'Productos '!B:G,3,FALSE)," ")</f>
        <v xml:space="preserve"> </v>
      </c>
      <c r="G1852" s="40" t="str">
        <f t="shared" si="68"/>
        <v xml:space="preserve"> </v>
      </c>
    </row>
    <row r="1853" spans="2:7" x14ac:dyDescent="0.25">
      <c r="B1853" s="41"/>
      <c r="C1853" s="241" t="str">
        <f>IFERROR(VLOOKUP(B1853,'Productos '!B:C,2,FALSE)," ")</f>
        <v xml:space="preserve"> </v>
      </c>
      <c r="D1853" s="242"/>
      <c r="E1853" s="41"/>
      <c r="F1853" s="40" t="str">
        <f>IFERROR(VLOOKUP(B1853,'Productos '!B:G,3,FALSE)," ")</f>
        <v xml:space="preserve"> </v>
      </c>
      <c r="G1853" s="40" t="str">
        <f t="shared" si="68"/>
        <v xml:space="preserve"> </v>
      </c>
    </row>
    <row r="1854" spans="2:7" x14ac:dyDescent="0.25">
      <c r="B1854" s="41"/>
      <c r="C1854" s="241" t="str">
        <f>IFERROR(VLOOKUP(B1854,'Productos '!B:C,2,FALSE)," ")</f>
        <v xml:space="preserve"> </v>
      </c>
      <c r="D1854" s="242"/>
      <c r="E1854" s="41"/>
      <c r="F1854" s="40" t="str">
        <f>IFERROR(VLOOKUP(B1854,'Productos '!B:G,3,FALSE)," ")</f>
        <v xml:space="preserve"> </v>
      </c>
      <c r="G1854" s="40" t="str">
        <f t="shared" si="68"/>
        <v xml:space="preserve"> </v>
      </c>
    </row>
    <row r="1855" spans="2:7" x14ac:dyDescent="0.25">
      <c r="B1855" s="41"/>
      <c r="C1855" s="241" t="str">
        <f>IFERROR(VLOOKUP(B1855,'Productos '!B:C,2,FALSE)," ")</f>
        <v xml:space="preserve"> </v>
      </c>
      <c r="D1855" s="242"/>
      <c r="E1855" s="41"/>
      <c r="F1855" s="40" t="str">
        <f>IFERROR(VLOOKUP(B1855,'Productos '!B:G,3,FALSE)," ")</f>
        <v xml:space="preserve"> </v>
      </c>
      <c r="G1855" s="40" t="str">
        <f t="shared" si="68"/>
        <v xml:space="preserve"> </v>
      </c>
    </row>
    <row r="1856" spans="2:7" x14ac:dyDescent="0.25">
      <c r="B1856" s="51"/>
      <c r="C1856" s="253" t="s">
        <v>88</v>
      </c>
      <c r="D1856" s="254"/>
      <c r="E1856" s="38">
        <f>SUM(E1849:E1855)</f>
        <v>1</v>
      </c>
      <c r="F1856" s="50" t="s">
        <v>89</v>
      </c>
      <c r="G1856" s="40">
        <f>SUM(G1849:G1855)</f>
        <v>3017.2413793103447</v>
      </c>
    </row>
    <row r="1857" spans="2:7" x14ac:dyDescent="0.25">
      <c r="B1857" s="51"/>
      <c r="C1857" s="51"/>
      <c r="D1857" s="51"/>
      <c r="E1857" s="51"/>
      <c r="F1857" s="50" t="s">
        <v>90</v>
      </c>
      <c r="G1857" s="40">
        <f>G1856*16%</f>
        <v>482.75862068965517</v>
      </c>
    </row>
    <row r="1858" spans="2:7" x14ac:dyDescent="0.25">
      <c r="B1858" s="50" t="s">
        <v>91</v>
      </c>
      <c r="C1858" s="241">
        <f>IFERROR(VLOOKUP(D1840,'DATOS REGISTRADOS'!B:Q,16,FALSE)," ")</f>
        <v>45</v>
      </c>
      <c r="D1858" s="252"/>
      <c r="E1858" s="242"/>
      <c r="F1858" s="50" t="s">
        <v>57</v>
      </c>
      <c r="G1858" s="40">
        <f>SUM(G1856:G1857)</f>
        <v>3500</v>
      </c>
    </row>
    <row r="1859" spans="2:7" x14ac:dyDescent="0.25">
      <c r="B1859" s="245" t="s">
        <v>129</v>
      </c>
      <c r="C1859" s="245"/>
      <c r="D1859" s="245"/>
      <c r="E1859" s="245"/>
      <c r="F1859" s="245"/>
      <c r="G1859" s="245"/>
    </row>
    <row r="1860" spans="2:7" x14ac:dyDescent="0.25">
      <c r="B1860" s="246" t="s">
        <v>124</v>
      </c>
      <c r="C1860" s="247"/>
      <c r="D1860" s="247"/>
      <c r="E1860" s="247"/>
      <c r="F1860" s="247"/>
      <c r="G1860" s="248"/>
    </row>
    <row r="1861" spans="2:7" x14ac:dyDescent="0.25">
      <c r="B1861" s="54" t="s">
        <v>123</v>
      </c>
      <c r="C1861" s="55"/>
      <c r="D1861" s="245" t="s">
        <v>128</v>
      </c>
      <c r="E1861" s="245"/>
      <c r="F1861" s="245"/>
      <c r="G1861" s="245"/>
    </row>
  </sheetData>
  <mergeCells count="1406">
    <mergeCell ref="D49:E49"/>
    <mergeCell ref="C51:E51"/>
    <mergeCell ref="B52:G52"/>
    <mergeCell ref="C2:D3"/>
    <mergeCell ref="F2:G2"/>
    <mergeCell ref="B6:G6"/>
    <mergeCell ref="C7:G7"/>
    <mergeCell ref="C8:D8"/>
    <mergeCell ref="F8:G8"/>
    <mergeCell ref="C9:D10"/>
    <mergeCell ref="B12:G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C24:E24"/>
    <mergeCell ref="B25:G25"/>
    <mergeCell ref="C29:D30"/>
    <mergeCell ref="F29:G29"/>
    <mergeCell ref="B33:G33"/>
    <mergeCell ref="C34:G34"/>
    <mergeCell ref="C35:D35"/>
    <mergeCell ref="F35:G35"/>
    <mergeCell ref="C36:D37"/>
    <mergeCell ref="B39:G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B120:G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95:E95"/>
    <mergeCell ref="D96:E96"/>
    <mergeCell ref="D97:E97"/>
    <mergeCell ref="D98:E98"/>
    <mergeCell ref="D99:E99"/>
    <mergeCell ref="D100:E100"/>
    <mergeCell ref="D101:E101"/>
    <mergeCell ref="D102:E102"/>
    <mergeCell ref="C110:D111"/>
    <mergeCell ref="F110:G110"/>
    <mergeCell ref="B114:G114"/>
    <mergeCell ref="C115:G115"/>
    <mergeCell ref="C116:D116"/>
    <mergeCell ref="F116:G116"/>
    <mergeCell ref="C117:D118"/>
    <mergeCell ref="D129:E129"/>
    <mergeCell ref="D130:E130"/>
    <mergeCell ref="C132:E132"/>
    <mergeCell ref="B133:G133"/>
    <mergeCell ref="C261:D261"/>
    <mergeCell ref="C262:D262"/>
    <mergeCell ref="C263:D263"/>
    <mergeCell ref="B239:G239"/>
    <mergeCell ref="B240:G240"/>
    <mergeCell ref="D241:G241"/>
    <mergeCell ref="C245:D246"/>
    <mergeCell ref="C258:D258"/>
    <mergeCell ref="C450:D450"/>
    <mergeCell ref="C451:D451"/>
    <mergeCell ref="C452:D452"/>
    <mergeCell ref="C423:D423"/>
    <mergeCell ref="C319:E319"/>
    <mergeCell ref="B320:G320"/>
    <mergeCell ref="B321:G321"/>
    <mergeCell ref="D322:G322"/>
    <mergeCell ref="C272:D273"/>
    <mergeCell ref="F272:G272"/>
    <mergeCell ref="B276:G276"/>
    <mergeCell ref="C277:G277"/>
    <mergeCell ref="C278:D278"/>
    <mergeCell ref="F278:G278"/>
    <mergeCell ref="C279:D279"/>
    <mergeCell ref="B281:G281"/>
    <mergeCell ref="C282:D282"/>
    <mergeCell ref="C283:D283"/>
    <mergeCell ref="C284:D284"/>
    <mergeCell ref="C285:D285"/>
    <mergeCell ref="C287:D287"/>
    <mergeCell ref="C288:D288"/>
    <mergeCell ref="C289:D289"/>
    <mergeCell ref="C290:D290"/>
    <mergeCell ref="C292:E292"/>
    <mergeCell ref="B293:G293"/>
    <mergeCell ref="B294:G294"/>
    <mergeCell ref="D295:G295"/>
    <mergeCell ref="C299:D300"/>
    <mergeCell ref="F299:G299"/>
    <mergeCell ref="B303:G303"/>
    <mergeCell ref="C495:D495"/>
    <mergeCell ref="B497:G497"/>
    <mergeCell ref="C498:D498"/>
    <mergeCell ref="C499:D499"/>
    <mergeCell ref="B308:G308"/>
    <mergeCell ref="C309:D309"/>
    <mergeCell ref="C310:D310"/>
    <mergeCell ref="C311:D311"/>
    <mergeCell ref="C312:D312"/>
    <mergeCell ref="C313:D313"/>
    <mergeCell ref="C314:D314"/>
    <mergeCell ref="C315:D315"/>
    <mergeCell ref="C316:D316"/>
    <mergeCell ref="C317:D317"/>
    <mergeCell ref="C454:E454"/>
    <mergeCell ref="B455:G455"/>
    <mergeCell ref="B456:G456"/>
    <mergeCell ref="D457:G457"/>
    <mergeCell ref="C434:D435"/>
    <mergeCell ref="F434:G434"/>
    <mergeCell ref="B438:G438"/>
    <mergeCell ref="C439:G439"/>
    <mergeCell ref="C440:D440"/>
    <mergeCell ref="F440:G440"/>
    <mergeCell ref="C441:D441"/>
    <mergeCell ref="B443:G443"/>
    <mergeCell ref="C444:D444"/>
    <mergeCell ref="C445:D445"/>
    <mergeCell ref="C446:D446"/>
    <mergeCell ref="C447:D447"/>
    <mergeCell ref="C448:D448"/>
    <mergeCell ref="C449:D449"/>
    <mergeCell ref="B510:G510"/>
    <mergeCell ref="B524:G524"/>
    <mergeCell ref="C525:D525"/>
    <mergeCell ref="C526:D526"/>
    <mergeCell ref="D511:G511"/>
    <mergeCell ref="C461:D462"/>
    <mergeCell ref="F461:G461"/>
    <mergeCell ref="B465:G465"/>
    <mergeCell ref="C466:G466"/>
    <mergeCell ref="C467:D467"/>
    <mergeCell ref="F467:G467"/>
    <mergeCell ref="C468:D468"/>
    <mergeCell ref="B470:G470"/>
    <mergeCell ref="C471:D471"/>
    <mergeCell ref="C472:D472"/>
    <mergeCell ref="C473:D473"/>
    <mergeCell ref="C474:D474"/>
    <mergeCell ref="C475:D475"/>
    <mergeCell ref="C476:D476"/>
    <mergeCell ref="C477:D477"/>
    <mergeCell ref="C478:D478"/>
    <mergeCell ref="C479:D479"/>
    <mergeCell ref="C481:E481"/>
    <mergeCell ref="B482:G482"/>
    <mergeCell ref="B483:G483"/>
    <mergeCell ref="D484:G484"/>
    <mergeCell ref="C488:D489"/>
    <mergeCell ref="F488:G488"/>
    <mergeCell ref="B492:G492"/>
    <mergeCell ref="C493:G493"/>
    <mergeCell ref="C494:D494"/>
    <mergeCell ref="F494:G494"/>
    <mergeCell ref="C670:E670"/>
    <mergeCell ref="B671:G671"/>
    <mergeCell ref="B672:G672"/>
    <mergeCell ref="D673:G673"/>
    <mergeCell ref="C611:D611"/>
    <mergeCell ref="C500:D500"/>
    <mergeCell ref="C501:D501"/>
    <mergeCell ref="C502:D502"/>
    <mergeCell ref="C503:D503"/>
    <mergeCell ref="C504:D504"/>
    <mergeCell ref="C505:D505"/>
    <mergeCell ref="C506:D506"/>
    <mergeCell ref="F569:G569"/>
    <mergeCell ref="B573:G573"/>
    <mergeCell ref="C574:G574"/>
    <mergeCell ref="C575:D575"/>
    <mergeCell ref="F575:G575"/>
    <mergeCell ref="C576:D576"/>
    <mergeCell ref="B578:G578"/>
    <mergeCell ref="C535:E535"/>
    <mergeCell ref="C508:E508"/>
    <mergeCell ref="C704:D705"/>
    <mergeCell ref="F704:G704"/>
    <mergeCell ref="B708:G708"/>
    <mergeCell ref="C709:G709"/>
    <mergeCell ref="B686:G686"/>
    <mergeCell ref="C687:D687"/>
    <mergeCell ref="C688:D688"/>
    <mergeCell ref="C689:D689"/>
    <mergeCell ref="C690:D690"/>
    <mergeCell ref="C691:D691"/>
    <mergeCell ref="C692:D692"/>
    <mergeCell ref="C693:D693"/>
    <mergeCell ref="C694:D694"/>
    <mergeCell ref="C695:D695"/>
    <mergeCell ref="C697:E697"/>
    <mergeCell ref="B698:G698"/>
    <mergeCell ref="B699:G699"/>
    <mergeCell ref="D700:G700"/>
    <mergeCell ref="F629:G629"/>
    <mergeCell ref="C630:D630"/>
    <mergeCell ref="C710:D710"/>
    <mergeCell ref="F710:G710"/>
    <mergeCell ref="C711:D711"/>
    <mergeCell ref="B713:G713"/>
    <mergeCell ref="C714:D714"/>
    <mergeCell ref="B725:G725"/>
    <mergeCell ref="B726:G726"/>
    <mergeCell ref="D727:G727"/>
    <mergeCell ref="C715:D715"/>
    <mergeCell ref="C716:D716"/>
    <mergeCell ref="C717:D717"/>
    <mergeCell ref="C718:D718"/>
    <mergeCell ref="C719:D719"/>
    <mergeCell ref="C720:D720"/>
    <mergeCell ref="C721:D721"/>
    <mergeCell ref="C722:D722"/>
    <mergeCell ref="C724:E724"/>
    <mergeCell ref="C731:D732"/>
    <mergeCell ref="F731:G731"/>
    <mergeCell ref="B735:G735"/>
    <mergeCell ref="C736:G736"/>
    <mergeCell ref="C737:D737"/>
    <mergeCell ref="F737:G737"/>
    <mergeCell ref="C738:D738"/>
    <mergeCell ref="B740:G740"/>
    <mergeCell ref="C741:D741"/>
    <mergeCell ref="B752:G752"/>
    <mergeCell ref="B753:G753"/>
    <mergeCell ref="D754:G754"/>
    <mergeCell ref="C742:D742"/>
    <mergeCell ref="C743:D743"/>
    <mergeCell ref="C744:D744"/>
    <mergeCell ref="C745:D745"/>
    <mergeCell ref="C746:D746"/>
    <mergeCell ref="C747:D747"/>
    <mergeCell ref="C748:D748"/>
    <mergeCell ref="C749:D749"/>
    <mergeCell ref="C751:E751"/>
    <mergeCell ref="C805:E805"/>
    <mergeCell ref="B806:G806"/>
    <mergeCell ref="B807:G807"/>
    <mergeCell ref="D808:G808"/>
    <mergeCell ref="C758:D759"/>
    <mergeCell ref="F758:G758"/>
    <mergeCell ref="B762:G762"/>
    <mergeCell ref="C763:G763"/>
    <mergeCell ref="C764:D764"/>
    <mergeCell ref="F764:G764"/>
    <mergeCell ref="C765:D765"/>
    <mergeCell ref="B767:G767"/>
    <mergeCell ref="C768:D768"/>
    <mergeCell ref="C769:D769"/>
    <mergeCell ref="C770:D770"/>
    <mergeCell ref="C771:D771"/>
    <mergeCell ref="C772:D772"/>
    <mergeCell ref="C773:D773"/>
    <mergeCell ref="C774:D774"/>
    <mergeCell ref="C775:D775"/>
    <mergeCell ref="C776:D776"/>
    <mergeCell ref="C778:E778"/>
    <mergeCell ref="B779:G779"/>
    <mergeCell ref="B780:G780"/>
    <mergeCell ref="D781:G781"/>
    <mergeCell ref="C785:D786"/>
    <mergeCell ref="F785:G785"/>
    <mergeCell ref="B789:G789"/>
    <mergeCell ref="C790:G790"/>
    <mergeCell ref="C791:D791"/>
    <mergeCell ref="F791:G791"/>
    <mergeCell ref="C792:D792"/>
    <mergeCell ref="B794:G794"/>
    <mergeCell ref="C795:D795"/>
    <mergeCell ref="C796:D796"/>
    <mergeCell ref="C797:D797"/>
    <mergeCell ref="C798:D798"/>
    <mergeCell ref="C799:D799"/>
    <mergeCell ref="C800:D800"/>
    <mergeCell ref="C801:D801"/>
    <mergeCell ref="C802:D802"/>
    <mergeCell ref="C803:D803"/>
    <mergeCell ref="C1093:D1093"/>
    <mergeCell ref="B1104:G1104"/>
    <mergeCell ref="D1105:G1105"/>
    <mergeCell ref="C1094:D1094"/>
    <mergeCell ref="C1095:D1095"/>
    <mergeCell ref="C1096:D1096"/>
    <mergeCell ref="C1097:D1097"/>
    <mergeCell ref="C1098:D1098"/>
    <mergeCell ref="C1099:D1099"/>
    <mergeCell ref="C1100:D1100"/>
    <mergeCell ref="C1102:E1102"/>
    <mergeCell ref="B1103:G1103"/>
    <mergeCell ref="F812:G812"/>
    <mergeCell ref="B816:G816"/>
    <mergeCell ref="C817:G817"/>
    <mergeCell ref="C818:D818"/>
    <mergeCell ref="F818:G818"/>
    <mergeCell ref="C819:D819"/>
    <mergeCell ref="B821:G821"/>
    <mergeCell ref="C822:D822"/>
    <mergeCell ref="B833:G833"/>
    <mergeCell ref="B834:G834"/>
    <mergeCell ref="C823:D823"/>
    <mergeCell ref="C824:D824"/>
    <mergeCell ref="C825:D825"/>
    <mergeCell ref="C826:D826"/>
    <mergeCell ref="C827:D827"/>
    <mergeCell ref="C828:D828"/>
    <mergeCell ref="C829:D829"/>
    <mergeCell ref="C830:D830"/>
    <mergeCell ref="C832:E832"/>
    <mergeCell ref="D1213:G1213"/>
    <mergeCell ref="C1163:D1164"/>
    <mergeCell ref="B1167:G1167"/>
    <mergeCell ref="C1168:G1168"/>
    <mergeCell ref="C1169:D1169"/>
    <mergeCell ref="F1169:G1169"/>
    <mergeCell ref="C1170:D1170"/>
    <mergeCell ref="B1172:G1172"/>
    <mergeCell ref="C1173:D1173"/>
    <mergeCell ref="C1174:D1174"/>
    <mergeCell ref="C1175:D1175"/>
    <mergeCell ref="C1176:D1176"/>
    <mergeCell ref="C1177:D1177"/>
    <mergeCell ref="C1178:D1178"/>
    <mergeCell ref="C1179:D1179"/>
    <mergeCell ref="C1180:D1180"/>
    <mergeCell ref="C1181:D1181"/>
    <mergeCell ref="C1183:E1183"/>
    <mergeCell ref="B1184:G1184"/>
    <mergeCell ref="B1185:G1185"/>
    <mergeCell ref="D1186:G1186"/>
    <mergeCell ref="C1202:D1202"/>
    <mergeCell ref="C1203:D1203"/>
    <mergeCell ref="C1244:D1245"/>
    <mergeCell ref="B1248:G1248"/>
    <mergeCell ref="C1249:G1249"/>
    <mergeCell ref="C1250:D1250"/>
    <mergeCell ref="F1250:G1250"/>
    <mergeCell ref="C1251:D1251"/>
    <mergeCell ref="B1253:G1253"/>
    <mergeCell ref="B1239:G1239"/>
    <mergeCell ref="D1240:G1240"/>
    <mergeCell ref="C1229:D1229"/>
    <mergeCell ref="C1230:D1230"/>
    <mergeCell ref="C1231:D1231"/>
    <mergeCell ref="C1232:D1232"/>
    <mergeCell ref="C1233:D1233"/>
    <mergeCell ref="C1234:D1234"/>
    <mergeCell ref="C1235:D1235"/>
    <mergeCell ref="C1237:E1237"/>
    <mergeCell ref="B1238:G1238"/>
    <mergeCell ref="C1406:D1407"/>
    <mergeCell ref="B1410:G1410"/>
    <mergeCell ref="C1411:G1411"/>
    <mergeCell ref="C1412:D1412"/>
    <mergeCell ref="F1412:G1412"/>
    <mergeCell ref="C1368:D1368"/>
    <mergeCell ref="C1369:D1369"/>
    <mergeCell ref="C1370:D1370"/>
    <mergeCell ref="C1372:E1372"/>
    <mergeCell ref="B1373:G1373"/>
    <mergeCell ref="C1413:D1413"/>
    <mergeCell ref="B1415:G1415"/>
    <mergeCell ref="C1416:D1416"/>
    <mergeCell ref="C1204:D1204"/>
    <mergeCell ref="C1205:D1205"/>
    <mergeCell ref="C1206:D1206"/>
    <mergeCell ref="C1207:D1207"/>
    <mergeCell ref="C1208:D1208"/>
    <mergeCell ref="C1210:E1210"/>
    <mergeCell ref="B1211:G1211"/>
    <mergeCell ref="C1254:D1254"/>
    <mergeCell ref="C1255:D1255"/>
    <mergeCell ref="B1266:G1266"/>
    <mergeCell ref="C1367:D1367"/>
    <mergeCell ref="B1302:G1302"/>
    <mergeCell ref="C1303:G1303"/>
    <mergeCell ref="C1304:D1304"/>
    <mergeCell ref="F1304:G1304"/>
    <mergeCell ref="C1305:D1305"/>
    <mergeCell ref="B1307:G1307"/>
    <mergeCell ref="C1308:D1308"/>
    <mergeCell ref="C1309:D1309"/>
    <mergeCell ref="C1433:D1434"/>
    <mergeCell ref="B1437:G1437"/>
    <mergeCell ref="C1438:G1438"/>
    <mergeCell ref="C1439:D1439"/>
    <mergeCell ref="F1439:G1439"/>
    <mergeCell ref="C1440:D1440"/>
    <mergeCell ref="B1442:G1442"/>
    <mergeCell ref="D1429:G1429"/>
    <mergeCell ref="C1418:D1418"/>
    <mergeCell ref="C1419:D1419"/>
    <mergeCell ref="C1420:D1420"/>
    <mergeCell ref="C1421:D1421"/>
    <mergeCell ref="C1422:D1422"/>
    <mergeCell ref="C1423:D1423"/>
    <mergeCell ref="C1424:D1424"/>
    <mergeCell ref="C1426:E1426"/>
    <mergeCell ref="B1427:G1427"/>
    <mergeCell ref="C1443:D1443"/>
    <mergeCell ref="C1444:D1444"/>
    <mergeCell ref="B1455:G1455"/>
    <mergeCell ref="D1456:G1456"/>
    <mergeCell ref="C1445:D1445"/>
    <mergeCell ref="C1446:D1446"/>
    <mergeCell ref="C1447:D1447"/>
    <mergeCell ref="C1448:D1448"/>
    <mergeCell ref="C1449:D1449"/>
    <mergeCell ref="C1450:D1450"/>
    <mergeCell ref="C1451:D1451"/>
    <mergeCell ref="C1453:E1453"/>
    <mergeCell ref="B1454:G1454"/>
    <mergeCell ref="D1510:G1510"/>
    <mergeCell ref="C1460:D1461"/>
    <mergeCell ref="B1464:G1464"/>
    <mergeCell ref="C1465:G1465"/>
    <mergeCell ref="C1466:D1466"/>
    <mergeCell ref="F1466:G1466"/>
    <mergeCell ref="C1467:D1467"/>
    <mergeCell ref="B1469:G1469"/>
    <mergeCell ref="C1470:D1470"/>
    <mergeCell ref="C1471:D1471"/>
    <mergeCell ref="C1472:D1472"/>
    <mergeCell ref="C1473:D1473"/>
    <mergeCell ref="C1474:D1474"/>
    <mergeCell ref="C1475:D1475"/>
    <mergeCell ref="C1476:D1476"/>
    <mergeCell ref="C1477:D1477"/>
    <mergeCell ref="C1478:D1478"/>
    <mergeCell ref="C1480:E1480"/>
    <mergeCell ref="B1481:G1481"/>
    <mergeCell ref="B1482:G1482"/>
    <mergeCell ref="D1483:G1483"/>
    <mergeCell ref="C1499:D1499"/>
    <mergeCell ref="C1500:D1500"/>
    <mergeCell ref="C1501:D1501"/>
    <mergeCell ref="C1502:D1502"/>
    <mergeCell ref="C1503:D1503"/>
    <mergeCell ref="C1504:D1504"/>
    <mergeCell ref="C1505:D1505"/>
    <mergeCell ref="C1507:E1507"/>
    <mergeCell ref="B1508:G1508"/>
    <mergeCell ref="C1487:D1488"/>
    <mergeCell ref="B1491:G1491"/>
    <mergeCell ref="C1492:G1492"/>
    <mergeCell ref="C1493:D1493"/>
    <mergeCell ref="F1493:G1493"/>
    <mergeCell ref="C1494:D1494"/>
    <mergeCell ref="B1496:G1496"/>
    <mergeCell ref="C1497:D1497"/>
    <mergeCell ref="C1498:D1498"/>
    <mergeCell ref="B1509:G1509"/>
    <mergeCell ref="D1564:G1564"/>
    <mergeCell ref="C1514:D1515"/>
    <mergeCell ref="B1518:G1518"/>
    <mergeCell ref="C1519:G1519"/>
    <mergeCell ref="C1520:D1520"/>
    <mergeCell ref="F1520:G1520"/>
    <mergeCell ref="C1521:D1521"/>
    <mergeCell ref="B1523:G1523"/>
    <mergeCell ref="C1524:D1524"/>
    <mergeCell ref="C1525:D1525"/>
    <mergeCell ref="C1526:D1526"/>
    <mergeCell ref="C1527:D1527"/>
    <mergeCell ref="C1528:D1528"/>
    <mergeCell ref="C1529:D1529"/>
    <mergeCell ref="C1530:D1530"/>
    <mergeCell ref="C1531:D1531"/>
    <mergeCell ref="C1532:D1532"/>
    <mergeCell ref="C1534:E1534"/>
    <mergeCell ref="B1535:G1535"/>
    <mergeCell ref="B1536:G1536"/>
    <mergeCell ref="D1537:G1537"/>
    <mergeCell ref="C1553:D1553"/>
    <mergeCell ref="C1554:D1554"/>
    <mergeCell ref="C1555:D1555"/>
    <mergeCell ref="C1556:D1556"/>
    <mergeCell ref="C1557:D1557"/>
    <mergeCell ref="C1558:D1558"/>
    <mergeCell ref="C1559:D1559"/>
    <mergeCell ref="C1561:E1561"/>
    <mergeCell ref="B1562:G1562"/>
    <mergeCell ref="C1541:D1542"/>
    <mergeCell ref="B1545:G1545"/>
    <mergeCell ref="C1546:G1546"/>
    <mergeCell ref="C1547:D1547"/>
    <mergeCell ref="F1547:G1547"/>
    <mergeCell ref="C1548:D1548"/>
    <mergeCell ref="B1550:G1550"/>
    <mergeCell ref="C1551:D1551"/>
    <mergeCell ref="C1552:D1552"/>
    <mergeCell ref="B1563:G1563"/>
    <mergeCell ref="D1618:G1618"/>
    <mergeCell ref="C1568:D1569"/>
    <mergeCell ref="B1572:G1572"/>
    <mergeCell ref="C1573:G1573"/>
    <mergeCell ref="C1574:D1574"/>
    <mergeCell ref="F1574:G1574"/>
    <mergeCell ref="C1575:D1575"/>
    <mergeCell ref="B1577:G1577"/>
    <mergeCell ref="C1578:D1578"/>
    <mergeCell ref="C1579:D1579"/>
    <mergeCell ref="C1580:D1580"/>
    <mergeCell ref="C1581:D1581"/>
    <mergeCell ref="C1582:D1582"/>
    <mergeCell ref="C1583:D1583"/>
    <mergeCell ref="C1584:D1584"/>
    <mergeCell ref="C1585:D1585"/>
    <mergeCell ref="C1649:D1650"/>
    <mergeCell ref="C1586:D1586"/>
    <mergeCell ref="C1588:E1588"/>
    <mergeCell ref="B1589:G1589"/>
    <mergeCell ref="B1590:G1590"/>
    <mergeCell ref="D1591:G1591"/>
    <mergeCell ref="C1607:D1607"/>
    <mergeCell ref="C1608:D1608"/>
    <mergeCell ref="C1609:D1609"/>
    <mergeCell ref="C1610:D1610"/>
    <mergeCell ref="C1611:D1611"/>
    <mergeCell ref="C1612:D1612"/>
    <mergeCell ref="C1613:D1613"/>
    <mergeCell ref="C1615:E1615"/>
    <mergeCell ref="B1616:G1616"/>
    <mergeCell ref="C1595:D1596"/>
    <mergeCell ref="B1599:G1599"/>
    <mergeCell ref="C1600:G1600"/>
    <mergeCell ref="C1601:D1601"/>
    <mergeCell ref="F1601:G1601"/>
    <mergeCell ref="C1602:D1602"/>
    <mergeCell ref="B1604:G1604"/>
    <mergeCell ref="C1605:D1605"/>
    <mergeCell ref="C1606:D1606"/>
    <mergeCell ref="C1715:D1715"/>
    <mergeCell ref="B1617:G1617"/>
    <mergeCell ref="D1672:G1672"/>
    <mergeCell ref="C1622:D1623"/>
    <mergeCell ref="B1626:G1626"/>
    <mergeCell ref="C1627:G1627"/>
    <mergeCell ref="C1628:D1628"/>
    <mergeCell ref="F1628:G1628"/>
    <mergeCell ref="C1629:D1629"/>
    <mergeCell ref="B1631:G1631"/>
    <mergeCell ref="C1632:D1632"/>
    <mergeCell ref="C1633:D1633"/>
    <mergeCell ref="C1634:D1634"/>
    <mergeCell ref="C1635:D1635"/>
    <mergeCell ref="C1636:D1636"/>
    <mergeCell ref="C1637:D1637"/>
    <mergeCell ref="C1638:D1638"/>
    <mergeCell ref="C1639:D1639"/>
    <mergeCell ref="C1640:D1640"/>
    <mergeCell ref="C1642:E1642"/>
    <mergeCell ref="B1643:G1643"/>
    <mergeCell ref="B1644:G1644"/>
    <mergeCell ref="D1645:G1645"/>
    <mergeCell ref="C1661:D1661"/>
    <mergeCell ref="C1662:D1662"/>
    <mergeCell ref="C1663:D1663"/>
    <mergeCell ref="C1664:D1664"/>
    <mergeCell ref="C1665:D1665"/>
    <mergeCell ref="C1666:D1666"/>
    <mergeCell ref="C1667:D1667"/>
    <mergeCell ref="C1669:E1669"/>
    <mergeCell ref="B1670:G1670"/>
    <mergeCell ref="C1848:D1848"/>
    <mergeCell ref="C1849:D1849"/>
    <mergeCell ref="B1860:G1860"/>
    <mergeCell ref="D1834:G1834"/>
    <mergeCell ref="C1850:D1850"/>
    <mergeCell ref="C1851:D1851"/>
    <mergeCell ref="B1653:G1653"/>
    <mergeCell ref="C1654:G1654"/>
    <mergeCell ref="C1655:D1655"/>
    <mergeCell ref="F1655:G1655"/>
    <mergeCell ref="C1656:D1656"/>
    <mergeCell ref="B1658:G1658"/>
    <mergeCell ref="C1659:D1659"/>
    <mergeCell ref="C1660:D1660"/>
    <mergeCell ref="B1671:G1671"/>
    <mergeCell ref="C1730:D1731"/>
    <mergeCell ref="B1734:G1734"/>
    <mergeCell ref="C1735:G1735"/>
    <mergeCell ref="C1736:D1736"/>
    <mergeCell ref="F1736:G1736"/>
    <mergeCell ref="C1737:D1737"/>
    <mergeCell ref="B1739:G1739"/>
    <mergeCell ref="C1740:D1740"/>
    <mergeCell ref="C1721:D1721"/>
    <mergeCell ref="C1723:E1723"/>
    <mergeCell ref="B1724:G1724"/>
    <mergeCell ref="B1725:G1725"/>
    <mergeCell ref="D1726:G1726"/>
    <mergeCell ref="C1716:D1716"/>
    <mergeCell ref="C1717:D1717"/>
    <mergeCell ref="C1718:D1718"/>
    <mergeCell ref="C1719:D1719"/>
    <mergeCell ref="C1796:D1796"/>
    <mergeCell ref="C1784:D1785"/>
    <mergeCell ref="B1788:G1788"/>
    <mergeCell ref="C1789:G1789"/>
    <mergeCell ref="C1790:D1790"/>
    <mergeCell ref="F1790:G1790"/>
    <mergeCell ref="D1861:G1861"/>
    <mergeCell ref="C1811:D1812"/>
    <mergeCell ref="B1815:G1815"/>
    <mergeCell ref="C1816:G1816"/>
    <mergeCell ref="C1817:D1817"/>
    <mergeCell ref="F1817:G1817"/>
    <mergeCell ref="C1818:D1818"/>
    <mergeCell ref="B1820:G1820"/>
    <mergeCell ref="C1821:D1821"/>
    <mergeCell ref="C1822:D1822"/>
    <mergeCell ref="C1823:D1823"/>
    <mergeCell ref="C1824:D1824"/>
    <mergeCell ref="C1825:D1825"/>
    <mergeCell ref="C1826:D1826"/>
    <mergeCell ref="C1827:D1827"/>
    <mergeCell ref="C1828:D1828"/>
    <mergeCell ref="C1829:D1829"/>
    <mergeCell ref="C1831:E1831"/>
    <mergeCell ref="B1832:G1832"/>
    <mergeCell ref="B1833:G1833"/>
    <mergeCell ref="B1842:G1842"/>
    <mergeCell ref="C1843:G1843"/>
    <mergeCell ref="C1844:D1844"/>
    <mergeCell ref="F1844:G1844"/>
    <mergeCell ref="C1845:D1845"/>
    <mergeCell ref="B1847:G1847"/>
    <mergeCell ref="C1852:D1852"/>
    <mergeCell ref="C1853:D1853"/>
    <mergeCell ref="C1854:D1854"/>
    <mergeCell ref="C1855:D1855"/>
    <mergeCell ref="C1856:D1856"/>
    <mergeCell ref="C1858:E1858"/>
    <mergeCell ref="B1859:G1859"/>
    <mergeCell ref="C1838:D1839"/>
    <mergeCell ref="C1775:D1775"/>
    <mergeCell ref="C1777:E1777"/>
    <mergeCell ref="B1778:G1778"/>
    <mergeCell ref="B1779:G1779"/>
    <mergeCell ref="D1780:G1780"/>
    <mergeCell ref="C1770:D1770"/>
    <mergeCell ref="C1771:D1771"/>
    <mergeCell ref="C1772:D1772"/>
    <mergeCell ref="C1773:D1773"/>
    <mergeCell ref="C1774:D1774"/>
    <mergeCell ref="C1802:D1802"/>
    <mergeCell ref="C1804:E1804"/>
    <mergeCell ref="B1805:G1805"/>
    <mergeCell ref="B1806:G1806"/>
    <mergeCell ref="D1807:G1807"/>
    <mergeCell ref="C1797:D1797"/>
    <mergeCell ref="C1798:D1798"/>
    <mergeCell ref="C1799:D1799"/>
    <mergeCell ref="C1800:D1800"/>
    <mergeCell ref="C1801:D1801"/>
    <mergeCell ref="C1791:D1791"/>
    <mergeCell ref="B1793:G1793"/>
    <mergeCell ref="C1794:D1794"/>
    <mergeCell ref="C1795:D1795"/>
    <mergeCell ref="C1764:D1764"/>
    <mergeCell ref="B1766:G1766"/>
    <mergeCell ref="C1767:D1767"/>
    <mergeCell ref="C1768:D1768"/>
    <mergeCell ref="C1769:D1769"/>
    <mergeCell ref="C1757:D1758"/>
    <mergeCell ref="B1761:G1761"/>
    <mergeCell ref="C1762:G1762"/>
    <mergeCell ref="C1763:D1763"/>
    <mergeCell ref="F1763:G1763"/>
    <mergeCell ref="C1703:D1704"/>
    <mergeCell ref="B1707:G1707"/>
    <mergeCell ref="C1708:G1708"/>
    <mergeCell ref="C1709:D1709"/>
    <mergeCell ref="F1709:G1709"/>
    <mergeCell ref="C1741:D1741"/>
    <mergeCell ref="B1752:G1752"/>
    <mergeCell ref="D1753:G1753"/>
    <mergeCell ref="C1742:D1742"/>
    <mergeCell ref="C1743:D1743"/>
    <mergeCell ref="C1744:D1744"/>
    <mergeCell ref="C1745:D1745"/>
    <mergeCell ref="C1746:D1746"/>
    <mergeCell ref="C1747:D1747"/>
    <mergeCell ref="C1748:D1748"/>
    <mergeCell ref="C1750:E1750"/>
    <mergeCell ref="B1751:G1751"/>
    <mergeCell ref="C1720:D1720"/>
    <mergeCell ref="C1710:D1710"/>
    <mergeCell ref="B1712:G1712"/>
    <mergeCell ref="C1713:D1713"/>
    <mergeCell ref="C1714:D1714"/>
    <mergeCell ref="B1698:G1698"/>
    <mergeCell ref="D1699:G1699"/>
    <mergeCell ref="C1688:D1688"/>
    <mergeCell ref="C1689:D1689"/>
    <mergeCell ref="C1690:D1690"/>
    <mergeCell ref="C1691:D1691"/>
    <mergeCell ref="C1692:D1692"/>
    <mergeCell ref="C1693:D1693"/>
    <mergeCell ref="C1694:D1694"/>
    <mergeCell ref="C1696:E1696"/>
    <mergeCell ref="B1697:G1697"/>
    <mergeCell ref="C1676:D1677"/>
    <mergeCell ref="B1680:G1680"/>
    <mergeCell ref="C1681:G1681"/>
    <mergeCell ref="C1682:D1682"/>
    <mergeCell ref="F1682:G1682"/>
    <mergeCell ref="C1683:D1683"/>
    <mergeCell ref="B1685:G1685"/>
    <mergeCell ref="C1686:D1686"/>
    <mergeCell ref="C1687:D1687"/>
    <mergeCell ref="C1417:D1417"/>
    <mergeCell ref="C1352:D1353"/>
    <mergeCell ref="B1356:G1356"/>
    <mergeCell ref="C1357:G1357"/>
    <mergeCell ref="C1358:D1358"/>
    <mergeCell ref="F1358:G1358"/>
    <mergeCell ref="C1359:D1359"/>
    <mergeCell ref="B1361:G1361"/>
    <mergeCell ref="C1362:D1362"/>
    <mergeCell ref="C1363:D1363"/>
    <mergeCell ref="B1428:G1428"/>
    <mergeCell ref="C1379:D1380"/>
    <mergeCell ref="B1383:G1383"/>
    <mergeCell ref="C1384:G1384"/>
    <mergeCell ref="C1385:D1385"/>
    <mergeCell ref="F1385:G1385"/>
    <mergeCell ref="C1386:D1386"/>
    <mergeCell ref="B1388:G1388"/>
    <mergeCell ref="C1389:D1389"/>
    <mergeCell ref="C1390:D1390"/>
    <mergeCell ref="B1401:G1401"/>
    <mergeCell ref="D1402:G1402"/>
    <mergeCell ref="C1391:D1391"/>
    <mergeCell ref="C1392:D1392"/>
    <mergeCell ref="C1393:D1393"/>
    <mergeCell ref="C1394:D1394"/>
    <mergeCell ref="C1395:D1395"/>
    <mergeCell ref="C1396:D1396"/>
    <mergeCell ref="C1397:D1397"/>
    <mergeCell ref="C1399:E1399"/>
    <mergeCell ref="B1400:G1400"/>
    <mergeCell ref="C1366:D1366"/>
    <mergeCell ref="B1374:G1374"/>
    <mergeCell ref="D1375:G1375"/>
    <mergeCell ref="C1325:D1326"/>
    <mergeCell ref="B1329:G1329"/>
    <mergeCell ref="C1330:G1330"/>
    <mergeCell ref="C1331:D1331"/>
    <mergeCell ref="F1331:G1331"/>
    <mergeCell ref="C1332:D1332"/>
    <mergeCell ref="B1334:G1334"/>
    <mergeCell ref="C1335:D1335"/>
    <mergeCell ref="C1336:D1336"/>
    <mergeCell ref="C1337:D1337"/>
    <mergeCell ref="C1338:D1338"/>
    <mergeCell ref="C1339:D1339"/>
    <mergeCell ref="C1340:D1340"/>
    <mergeCell ref="C1341:D1341"/>
    <mergeCell ref="C1342:D1342"/>
    <mergeCell ref="C1343:D1343"/>
    <mergeCell ref="C1345:E1345"/>
    <mergeCell ref="B1346:G1346"/>
    <mergeCell ref="B1347:G1347"/>
    <mergeCell ref="D1348:G1348"/>
    <mergeCell ref="C1364:D1364"/>
    <mergeCell ref="C1365:D1365"/>
    <mergeCell ref="B1320:G1320"/>
    <mergeCell ref="D1321:G1321"/>
    <mergeCell ref="C1271:D1272"/>
    <mergeCell ref="B1275:G1275"/>
    <mergeCell ref="C1276:G1276"/>
    <mergeCell ref="C1277:D1277"/>
    <mergeCell ref="F1277:G1277"/>
    <mergeCell ref="C1278:D1278"/>
    <mergeCell ref="B1280:G1280"/>
    <mergeCell ref="C1281:D1281"/>
    <mergeCell ref="C1282:D1282"/>
    <mergeCell ref="C1283:D1283"/>
    <mergeCell ref="C1284:D1284"/>
    <mergeCell ref="C1285:D1285"/>
    <mergeCell ref="C1286:D1286"/>
    <mergeCell ref="C1287:D1287"/>
    <mergeCell ref="C1288:D1288"/>
    <mergeCell ref="C1289:D1289"/>
    <mergeCell ref="C1291:E1291"/>
    <mergeCell ref="B1292:G1292"/>
    <mergeCell ref="B1293:G1293"/>
    <mergeCell ref="D1294:G1294"/>
    <mergeCell ref="C1310:D1310"/>
    <mergeCell ref="C1311:D1311"/>
    <mergeCell ref="C1312:D1312"/>
    <mergeCell ref="C1313:D1313"/>
    <mergeCell ref="C1314:D1314"/>
    <mergeCell ref="C1315:D1315"/>
    <mergeCell ref="C1316:D1316"/>
    <mergeCell ref="C1318:E1318"/>
    <mergeCell ref="B1319:G1319"/>
    <mergeCell ref="C1298:D1299"/>
    <mergeCell ref="C1227:D1227"/>
    <mergeCell ref="C1228:D1228"/>
    <mergeCell ref="D1267:G1267"/>
    <mergeCell ref="C1256:D1256"/>
    <mergeCell ref="C1257:D1257"/>
    <mergeCell ref="C1258:D1258"/>
    <mergeCell ref="C1259:D1259"/>
    <mergeCell ref="C1260:D1260"/>
    <mergeCell ref="C1261:D1261"/>
    <mergeCell ref="C1262:D1262"/>
    <mergeCell ref="C1264:E1264"/>
    <mergeCell ref="B1265:G1265"/>
    <mergeCell ref="D1159:G1159"/>
    <mergeCell ref="C1109:D1110"/>
    <mergeCell ref="B1113:G1113"/>
    <mergeCell ref="C1114:G1114"/>
    <mergeCell ref="C1115:D1115"/>
    <mergeCell ref="F1115:G1115"/>
    <mergeCell ref="C1116:D1116"/>
    <mergeCell ref="B1118:G1118"/>
    <mergeCell ref="C1119:D1119"/>
    <mergeCell ref="C1120:D1120"/>
    <mergeCell ref="C1121:D1121"/>
    <mergeCell ref="C1122:D1122"/>
    <mergeCell ref="C1123:D1123"/>
    <mergeCell ref="C1124:D1124"/>
    <mergeCell ref="C1125:D1125"/>
    <mergeCell ref="C1126:D1126"/>
    <mergeCell ref="C1127:D1127"/>
    <mergeCell ref="C1190:D1191"/>
    <mergeCell ref="B1194:G1194"/>
    <mergeCell ref="C1195:G1195"/>
    <mergeCell ref="C1154:D1154"/>
    <mergeCell ref="C1156:E1156"/>
    <mergeCell ref="B1157:G1157"/>
    <mergeCell ref="C1136:D1137"/>
    <mergeCell ref="B1140:G1140"/>
    <mergeCell ref="C1028:D1029"/>
    <mergeCell ref="B1032:G1032"/>
    <mergeCell ref="C1033:G1033"/>
    <mergeCell ref="C1034:D1034"/>
    <mergeCell ref="F1034:G1034"/>
    <mergeCell ref="C1035:D1035"/>
    <mergeCell ref="B1037:G1037"/>
    <mergeCell ref="C1038:D1038"/>
    <mergeCell ref="C1039:D1039"/>
    <mergeCell ref="F1223:G1223"/>
    <mergeCell ref="C1224:D1224"/>
    <mergeCell ref="B1226:G1226"/>
    <mergeCell ref="C1196:D1196"/>
    <mergeCell ref="F1196:G1196"/>
    <mergeCell ref="C1197:D1197"/>
    <mergeCell ref="B1199:G1199"/>
    <mergeCell ref="C1200:D1200"/>
    <mergeCell ref="C1201:D1201"/>
    <mergeCell ref="B1212:G1212"/>
    <mergeCell ref="C1217:D1218"/>
    <mergeCell ref="B1221:G1221"/>
    <mergeCell ref="C1222:G1222"/>
    <mergeCell ref="C1223:D1223"/>
    <mergeCell ref="B1077:G1077"/>
    <mergeCell ref="D1078:G1078"/>
    <mergeCell ref="C1073:D1073"/>
    <mergeCell ref="C1075:E1075"/>
    <mergeCell ref="B1076:G1076"/>
    <mergeCell ref="D1024:G1024"/>
    <mergeCell ref="C1055:D1056"/>
    <mergeCell ref="C1129:E1129"/>
    <mergeCell ref="B1130:G1130"/>
    <mergeCell ref="B1131:G1131"/>
    <mergeCell ref="D1132:G1132"/>
    <mergeCell ref="C1148:D1148"/>
    <mergeCell ref="C1149:D1149"/>
    <mergeCell ref="C1150:D1150"/>
    <mergeCell ref="C1151:D1151"/>
    <mergeCell ref="C1152:D1152"/>
    <mergeCell ref="C1153:D1153"/>
    <mergeCell ref="C980:D980"/>
    <mergeCell ref="F980:G980"/>
    <mergeCell ref="C981:D981"/>
    <mergeCell ref="B983:G983"/>
    <mergeCell ref="C984:D984"/>
    <mergeCell ref="C985:D985"/>
    <mergeCell ref="C986:D986"/>
    <mergeCell ref="C987:D987"/>
    <mergeCell ref="C988:D988"/>
    <mergeCell ref="C989:D989"/>
    <mergeCell ref="C990:D990"/>
    <mergeCell ref="C991:D991"/>
    <mergeCell ref="C992:D992"/>
    <mergeCell ref="C994:E994"/>
    <mergeCell ref="B1005:G1005"/>
    <mergeCell ref="C1066:D1066"/>
    <mergeCell ref="C1042:D1042"/>
    <mergeCell ref="C1043:D1043"/>
    <mergeCell ref="C1044:D1044"/>
    <mergeCell ref="B1158:G1158"/>
    <mergeCell ref="C1141:G1141"/>
    <mergeCell ref="C1142:D1142"/>
    <mergeCell ref="F1142:G1142"/>
    <mergeCell ref="C1143:D1143"/>
    <mergeCell ref="B1145:G1145"/>
    <mergeCell ref="C1146:D1146"/>
    <mergeCell ref="C1147:D1147"/>
    <mergeCell ref="C1082:D1083"/>
    <mergeCell ref="B1086:G1086"/>
    <mergeCell ref="C1087:G1087"/>
    <mergeCell ref="C1088:D1088"/>
    <mergeCell ref="F1088:G1088"/>
    <mergeCell ref="C1089:D1089"/>
    <mergeCell ref="B1091:G1091"/>
    <mergeCell ref="C1092:D1092"/>
    <mergeCell ref="C963:D963"/>
    <mergeCell ref="C964:D964"/>
    <mergeCell ref="C965:D965"/>
    <mergeCell ref="C967:E967"/>
    <mergeCell ref="B968:G968"/>
    <mergeCell ref="B1049:G1049"/>
    <mergeCell ref="B1050:G1050"/>
    <mergeCell ref="D1051:G1051"/>
    <mergeCell ref="C1067:D1067"/>
    <mergeCell ref="C1068:D1068"/>
    <mergeCell ref="C1069:D1069"/>
    <mergeCell ref="C1070:D1070"/>
    <mergeCell ref="C1071:D1071"/>
    <mergeCell ref="C1072:D1072"/>
    <mergeCell ref="C1040:D1040"/>
    <mergeCell ref="C1041:D1041"/>
    <mergeCell ref="C1045:D1045"/>
    <mergeCell ref="C1046:D1046"/>
    <mergeCell ref="C1048:E1048"/>
    <mergeCell ref="B1059:G1059"/>
    <mergeCell ref="C1060:G1060"/>
    <mergeCell ref="C1061:D1061"/>
    <mergeCell ref="F1061:G1061"/>
    <mergeCell ref="C1062:D1062"/>
    <mergeCell ref="B1064:G1064"/>
    <mergeCell ref="C1065:D1065"/>
    <mergeCell ref="C974:D975"/>
    <mergeCell ref="B978:G978"/>
    <mergeCell ref="C979:G979"/>
    <mergeCell ref="C947:D948"/>
    <mergeCell ref="B951:G951"/>
    <mergeCell ref="C952:G952"/>
    <mergeCell ref="C953:D953"/>
    <mergeCell ref="F953:G953"/>
    <mergeCell ref="C954:D954"/>
    <mergeCell ref="B956:G956"/>
    <mergeCell ref="C957:D957"/>
    <mergeCell ref="C958:D958"/>
    <mergeCell ref="B1023:G1023"/>
    <mergeCell ref="C1006:G1006"/>
    <mergeCell ref="C1007:D1007"/>
    <mergeCell ref="F1007:G1007"/>
    <mergeCell ref="C1008:D1008"/>
    <mergeCell ref="B1010:G1010"/>
    <mergeCell ref="C1011:D1011"/>
    <mergeCell ref="C1012:D1012"/>
    <mergeCell ref="B996:G996"/>
    <mergeCell ref="D997:G997"/>
    <mergeCell ref="C1013:D1013"/>
    <mergeCell ref="C1014:D1014"/>
    <mergeCell ref="C1015:D1015"/>
    <mergeCell ref="C1016:D1016"/>
    <mergeCell ref="C1017:D1017"/>
    <mergeCell ref="C1018:D1018"/>
    <mergeCell ref="C1019:D1019"/>
    <mergeCell ref="C1021:E1021"/>
    <mergeCell ref="B1022:G1022"/>
    <mergeCell ref="C1001:D1002"/>
    <mergeCell ref="B995:G995"/>
    <mergeCell ref="C961:D961"/>
    <mergeCell ref="C962:D962"/>
    <mergeCell ref="B897:G897"/>
    <mergeCell ref="C898:G898"/>
    <mergeCell ref="C899:D899"/>
    <mergeCell ref="F899:G899"/>
    <mergeCell ref="C900:D900"/>
    <mergeCell ref="B902:G902"/>
    <mergeCell ref="C903:D903"/>
    <mergeCell ref="C904:D904"/>
    <mergeCell ref="B969:G969"/>
    <mergeCell ref="D970:G970"/>
    <mergeCell ref="C920:D921"/>
    <mergeCell ref="B924:G924"/>
    <mergeCell ref="C925:G925"/>
    <mergeCell ref="C926:D926"/>
    <mergeCell ref="F926:G926"/>
    <mergeCell ref="C927:D927"/>
    <mergeCell ref="B929:G929"/>
    <mergeCell ref="C930:D930"/>
    <mergeCell ref="C931:D931"/>
    <mergeCell ref="C932:D932"/>
    <mergeCell ref="C933:D933"/>
    <mergeCell ref="C934:D934"/>
    <mergeCell ref="C935:D935"/>
    <mergeCell ref="C936:D936"/>
    <mergeCell ref="C937:D937"/>
    <mergeCell ref="C938:D938"/>
    <mergeCell ref="C940:E940"/>
    <mergeCell ref="B941:G941"/>
    <mergeCell ref="B942:G942"/>
    <mergeCell ref="D943:G943"/>
    <mergeCell ref="C959:D959"/>
    <mergeCell ref="C960:D960"/>
    <mergeCell ref="B915:G915"/>
    <mergeCell ref="D916:G916"/>
    <mergeCell ref="C866:D867"/>
    <mergeCell ref="B870:G870"/>
    <mergeCell ref="C871:G871"/>
    <mergeCell ref="C872:D872"/>
    <mergeCell ref="F872:G872"/>
    <mergeCell ref="C873:D873"/>
    <mergeCell ref="B875:G875"/>
    <mergeCell ref="C876:D876"/>
    <mergeCell ref="C877:D877"/>
    <mergeCell ref="C878:D878"/>
    <mergeCell ref="C879:D879"/>
    <mergeCell ref="C880:D880"/>
    <mergeCell ref="C881:D881"/>
    <mergeCell ref="C882:D882"/>
    <mergeCell ref="C883:D883"/>
    <mergeCell ref="C884:D884"/>
    <mergeCell ref="C886:E886"/>
    <mergeCell ref="B887:G887"/>
    <mergeCell ref="B888:G888"/>
    <mergeCell ref="D889:G889"/>
    <mergeCell ref="C905:D905"/>
    <mergeCell ref="C906:D906"/>
    <mergeCell ref="C907:D907"/>
    <mergeCell ref="C908:D908"/>
    <mergeCell ref="C909:D909"/>
    <mergeCell ref="C910:D910"/>
    <mergeCell ref="C911:D911"/>
    <mergeCell ref="C913:E913"/>
    <mergeCell ref="B914:G914"/>
    <mergeCell ref="C893:D894"/>
    <mergeCell ref="C677:D678"/>
    <mergeCell ref="F677:G677"/>
    <mergeCell ref="B681:G681"/>
    <mergeCell ref="C682:G682"/>
    <mergeCell ref="C683:D683"/>
    <mergeCell ref="F683:G683"/>
    <mergeCell ref="C684:D684"/>
    <mergeCell ref="B861:G861"/>
    <mergeCell ref="D862:G862"/>
    <mergeCell ref="C851:D851"/>
    <mergeCell ref="C852:D852"/>
    <mergeCell ref="C853:D853"/>
    <mergeCell ref="C854:D854"/>
    <mergeCell ref="C855:D855"/>
    <mergeCell ref="C856:D856"/>
    <mergeCell ref="C857:D857"/>
    <mergeCell ref="C859:E859"/>
    <mergeCell ref="B860:G860"/>
    <mergeCell ref="C839:D840"/>
    <mergeCell ref="B843:G843"/>
    <mergeCell ref="C844:G844"/>
    <mergeCell ref="C845:D845"/>
    <mergeCell ref="F845:G845"/>
    <mergeCell ref="C846:D846"/>
    <mergeCell ref="B848:G848"/>
    <mergeCell ref="C849:D849"/>
    <mergeCell ref="C850:D850"/>
    <mergeCell ref="C812:D813"/>
    <mergeCell ref="D835:G835"/>
    <mergeCell ref="C664:D664"/>
    <mergeCell ref="C665:D665"/>
    <mergeCell ref="C666:D666"/>
    <mergeCell ref="C667:D667"/>
    <mergeCell ref="C668:D668"/>
    <mergeCell ref="C562:E562"/>
    <mergeCell ref="C542:D543"/>
    <mergeCell ref="F542:G542"/>
    <mergeCell ref="B546:G546"/>
    <mergeCell ref="C547:G547"/>
    <mergeCell ref="C548:D548"/>
    <mergeCell ref="F548:G548"/>
    <mergeCell ref="C549:D549"/>
    <mergeCell ref="B551:G551"/>
    <mergeCell ref="C552:D552"/>
    <mergeCell ref="B617:G617"/>
    <mergeCell ref="B618:G618"/>
    <mergeCell ref="D619:G619"/>
    <mergeCell ref="C607:D607"/>
    <mergeCell ref="C608:D608"/>
    <mergeCell ref="C609:D609"/>
    <mergeCell ref="C610:D610"/>
    <mergeCell ref="C532:D532"/>
    <mergeCell ref="C533:D533"/>
    <mergeCell ref="C643:E643"/>
    <mergeCell ref="B644:G644"/>
    <mergeCell ref="B645:G645"/>
    <mergeCell ref="D646:G646"/>
    <mergeCell ref="C661:D661"/>
    <mergeCell ref="C662:D662"/>
    <mergeCell ref="C579:D579"/>
    <mergeCell ref="B590:G590"/>
    <mergeCell ref="B591:G591"/>
    <mergeCell ref="D592:G592"/>
    <mergeCell ref="C580:D580"/>
    <mergeCell ref="C581:D581"/>
    <mergeCell ref="C582:D582"/>
    <mergeCell ref="C583:D583"/>
    <mergeCell ref="C584:D584"/>
    <mergeCell ref="C585:D585"/>
    <mergeCell ref="C586:D586"/>
    <mergeCell ref="C587:D587"/>
    <mergeCell ref="C589:E589"/>
    <mergeCell ref="B536:G536"/>
    <mergeCell ref="B537:G537"/>
    <mergeCell ref="D538:G538"/>
    <mergeCell ref="C553:D553"/>
    <mergeCell ref="C554:D554"/>
    <mergeCell ref="C555:D555"/>
    <mergeCell ref="C556:D556"/>
    <mergeCell ref="C557:D557"/>
    <mergeCell ref="C558:D558"/>
    <mergeCell ref="C559:D559"/>
    <mergeCell ref="C560:D560"/>
    <mergeCell ref="C528:D528"/>
    <mergeCell ref="C529:D529"/>
    <mergeCell ref="C530:D530"/>
    <mergeCell ref="C531:D531"/>
    <mergeCell ref="C612:D612"/>
    <mergeCell ref="C613:D613"/>
    <mergeCell ref="B509:G509"/>
    <mergeCell ref="C663:D663"/>
    <mergeCell ref="B632:G632"/>
    <mergeCell ref="C633:D633"/>
    <mergeCell ref="C634:D634"/>
    <mergeCell ref="C635:D635"/>
    <mergeCell ref="C636:D636"/>
    <mergeCell ref="C637:D637"/>
    <mergeCell ref="C638:D638"/>
    <mergeCell ref="C639:D639"/>
    <mergeCell ref="C640:D640"/>
    <mergeCell ref="C641:D641"/>
    <mergeCell ref="C650:D651"/>
    <mergeCell ref="F650:G650"/>
    <mergeCell ref="B654:G654"/>
    <mergeCell ref="C655:G655"/>
    <mergeCell ref="C656:D656"/>
    <mergeCell ref="F656:G656"/>
    <mergeCell ref="C657:D657"/>
    <mergeCell ref="B659:G659"/>
    <mergeCell ref="C660:D660"/>
    <mergeCell ref="C623:D624"/>
    <mergeCell ref="F623:G623"/>
    <mergeCell ref="B627:G627"/>
    <mergeCell ref="C628:G628"/>
    <mergeCell ref="C629:D629"/>
    <mergeCell ref="B416:G416"/>
    <mergeCell ref="C417:D417"/>
    <mergeCell ref="C418:D418"/>
    <mergeCell ref="C419:D419"/>
    <mergeCell ref="C420:D420"/>
    <mergeCell ref="C421:D421"/>
    <mergeCell ref="C422:D422"/>
    <mergeCell ref="C424:D424"/>
    <mergeCell ref="C425:D425"/>
    <mergeCell ref="C614:D614"/>
    <mergeCell ref="C616:E616"/>
    <mergeCell ref="C596:D597"/>
    <mergeCell ref="F596:G596"/>
    <mergeCell ref="B600:G600"/>
    <mergeCell ref="C601:G601"/>
    <mergeCell ref="C602:D602"/>
    <mergeCell ref="F602:G602"/>
    <mergeCell ref="C603:D603"/>
    <mergeCell ref="B605:G605"/>
    <mergeCell ref="C606:D606"/>
    <mergeCell ref="C569:D570"/>
    <mergeCell ref="B563:G563"/>
    <mergeCell ref="B564:G564"/>
    <mergeCell ref="D565:G565"/>
    <mergeCell ref="C515:D516"/>
    <mergeCell ref="F515:G515"/>
    <mergeCell ref="B519:G519"/>
    <mergeCell ref="C520:G520"/>
    <mergeCell ref="C521:D521"/>
    <mergeCell ref="F521:G521"/>
    <mergeCell ref="C522:D522"/>
    <mergeCell ref="C527:D527"/>
    <mergeCell ref="C427:E427"/>
    <mergeCell ref="B428:G428"/>
    <mergeCell ref="B429:G429"/>
    <mergeCell ref="D430:G430"/>
    <mergeCell ref="C380:D381"/>
    <mergeCell ref="F380:G380"/>
    <mergeCell ref="B384:G384"/>
    <mergeCell ref="C385:G385"/>
    <mergeCell ref="C386:D386"/>
    <mergeCell ref="F386:G386"/>
    <mergeCell ref="C387:D387"/>
    <mergeCell ref="B389:G389"/>
    <mergeCell ref="C390:D390"/>
    <mergeCell ref="C391:D391"/>
    <mergeCell ref="C392:D392"/>
    <mergeCell ref="C393:D393"/>
    <mergeCell ref="C394:D394"/>
    <mergeCell ref="C395:D395"/>
    <mergeCell ref="C396:D396"/>
    <mergeCell ref="C397:D397"/>
    <mergeCell ref="C398:D398"/>
    <mergeCell ref="C400:E400"/>
    <mergeCell ref="B401:G401"/>
    <mergeCell ref="B402:G402"/>
    <mergeCell ref="D403:G403"/>
    <mergeCell ref="C407:D408"/>
    <mergeCell ref="F407:G407"/>
    <mergeCell ref="B411:G411"/>
    <mergeCell ref="C412:G412"/>
    <mergeCell ref="C413:D413"/>
    <mergeCell ref="F413:G413"/>
    <mergeCell ref="C414:D414"/>
    <mergeCell ref="B374:G374"/>
    <mergeCell ref="B375:G375"/>
    <mergeCell ref="D376:G376"/>
    <mergeCell ref="C326:D327"/>
    <mergeCell ref="F326:G326"/>
    <mergeCell ref="B330:G330"/>
    <mergeCell ref="C331:G331"/>
    <mergeCell ref="C332:D332"/>
    <mergeCell ref="F332:G332"/>
    <mergeCell ref="C333:D333"/>
    <mergeCell ref="B335:G335"/>
    <mergeCell ref="C336:D336"/>
    <mergeCell ref="C337:D337"/>
    <mergeCell ref="C338:D338"/>
    <mergeCell ref="C339:D339"/>
    <mergeCell ref="C340:D340"/>
    <mergeCell ref="C341:D341"/>
    <mergeCell ref="C342:D342"/>
    <mergeCell ref="C343:D343"/>
    <mergeCell ref="C344:D344"/>
    <mergeCell ref="C346:E346"/>
    <mergeCell ref="B347:G347"/>
    <mergeCell ref="B348:G348"/>
    <mergeCell ref="D349:G349"/>
    <mergeCell ref="C353:D354"/>
    <mergeCell ref="F353:G353"/>
    <mergeCell ref="B357:G357"/>
    <mergeCell ref="C358:G358"/>
    <mergeCell ref="C359:D359"/>
    <mergeCell ref="F359:G359"/>
    <mergeCell ref="C360:D360"/>
    <mergeCell ref="B362:G362"/>
    <mergeCell ref="B200:G200"/>
    <mergeCell ref="C201:D201"/>
    <mergeCell ref="C202:D202"/>
    <mergeCell ref="C203:D203"/>
    <mergeCell ref="C204:D204"/>
    <mergeCell ref="C205:D205"/>
    <mergeCell ref="C206:D206"/>
    <mergeCell ref="C207:D207"/>
    <mergeCell ref="C208:D208"/>
    <mergeCell ref="C209:D209"/>
    <mergeCell ref="C211:E211"/>
    <mergeCell ref="B212:G212"/>
    <mergeCell ref="B213:G213"/>
    <mergeCell ref="D214:G214"/>
    <mergeCell ref="C265:E265"/>
    <mergeCell ref="C373:E373"/>
    <mergeCell ref="C363:D363"/>
    <mergeCell ref="C364:D364"/>
    <mergeCell ref="C365:D365"/>
    <mergeCell ref="C366:D366"/>
    <mergeCell ref="C367:D367"/>
    <mergeCell ref="C368:D368"/>
    <mergeCell ref="C369:D369"/>
    <mergeCell ref="C370:D370"/>
    <mergeCell ref="C371:D371"/>
    <mergeCell ref="C304:G304"/>
    <mergeCell ref="C305:D305"/>
    <mergeCell ref="F305:G305"/>
    <mergeCell ref="C306:D306"/>
    <mergeCell ref="B266:G266"/>
    <mergeCell ref="B267:G267"/>
    <mergeCell ref="C286:D286"/>
    <mergeCell ref="D268:G268"/>
    <mergeCell ref="C218:D219"/>
    <mergeCell ref="F218:G218"/>
    <mergeCell ref="B222:G222"/>
    <mergeCell ref="C223:G223"/>
    <mergeCell ref="C224:D224"/>
    <mergeCell ref="F224:G224"/>
    <mergeCell ref="C225:D225"/>
    <mergeCell ref="B227:G227"/>
    <mergeCell ref="C228:D228"/>
    <mergeCell ref="C229:D229"/>
    <mergeCell ref="C230:D230"/>
    <mergeCell ref="C231:D231"/>
    <mergeCell ref="C232:D232"/>
    <mergeCell ref="C233:D233"/>
    <mergeCell ref="C234:D234"/>
    <mergeCell ref="C235:D235"/>
    <mergeCell ref="C236:D236"/>
    <mergeCell ref="C238:E238"/>
    <mergeCell ref="F245:G245"/>
    <mergeCell ref="B249:G249"/>
    <mergeCell ref="C250:G250"/>
    <mergeCell ref="C251:D251"/>
    <mergeCell ref="F251:G251"/>
    <mergeCell ref="C252:D252"/>
    <mergeCell ref="B254:G254"/>
    <mergeCell ref="C255:D255"/>
    <mergeCell ref="C256:D256"/>
    <mergeCell ref="C257:D257"/>
    <mergeCell ref="C259:D259"/>
    <mergeCell ref="C260:D260"/>
    <mergeCell ref="C198:D198"/>
    <mergeCell ref="C157:E157"/>
    <mergeCell ref="B158:G158"/>
    <mergeCell ref="B159:G159"/>
    <mergeCell ref="D160:G160"/>
    <mergeCell ref="C137:D138"/>
    <mergeCell ref="F137:G137"/>
    <mergeCell ref="B141:G141"/>
    <mergeCell ref="C142:G142"/>
    <mergeCell ref="C143:D143"/>
    <mergeCell ref="F143:G143"/>
    <mergeCell ref="C144:D144"/>
    <mergeCell ref="B146:G146"/>
    <mergeCell ref="C147:D147"/>
    <mergeCell ref="C148:D148"/>
    <mergeCell ref="C149:D149"/>
    <mergeCell ref="C150:D150"/>
    <mergeCell ref="C151:D151"/>
    <mergeCell ref="C152:D152"/>
    <mergeCell ref="C153:D153"/>
    <mergeCell ref="C154:D154"/>
    <mergeCell ref="C155:D155"/>
    <mergeCell ref="C164:D165"/>
    <mergeCell ref="F164:G164"/>
    <mergeCell ref="B168:G168"/>
    <mergeCell ref="C169:G169"/>
    <mergeCell ref="C170:D170"/>
    <mergeCell ref="F170:G170"/>
    <mergeCell ref="C171:D171"/>
    <mergeCell ref="B173:G173"/>
    <mergeCell ref="C174:D174"/>
    <mergeCell ref="C175:D175"/>
    <mergeCell ref="C184:E184"/>
    <mergeCell ref="B185:G185"/>
    <mergeCell ref="B186:G186"/>
    <mergeCell ref="D187:G187"/>
    <mergeCell ref="C191:D192"/>
    <mergeCell ref="F191:G191"/>
    <mergeCell ref="B195:G195"/>
    <mergeCell ref="C196:G196"/>
    <mergeCell ref="C197:D197"/>
    <mergeCell ref="F197:G197"/>
    <mergeCell ref="C176:D176"/>
    <mergeCell ref="C177:D177"/>
    <mergeCell ref="C178:D178"/>
    <mergeCell ref="C179:D179"/>
    <mergeCell ref="C180:D180"/>
    <mergeCell ref="C181:D181"/>
    <mergeCell ref="C182:D182"/>
    <mergeCell ref="D103:E103"/>
    <mergeCell ref="C105:E105"/>
    <mergeCell ref="B106:G106"/>
    <mergeCell ref="C56:D57"/>
    <mergeCell ref="F56:G56"/>
    <mergeCell ref="B60:G60"/>
    <mergeCell ref="C61:G61"/>
    <mergeCell ref="C62:D62"/>
    <mergeCell ref="F62:G62"/>
    <mergeCell ref="C63:D64"/>
    <mergeCell ref="B66:G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C78:E78"/>
    <mergeCell ref="B79:G79"/>
    <mergeCell ref="C83:D84"/>
    <mergeCell ref="F83:G83"/>
    <mergeCell ref="B87:G87"/>
    <mergeCell ref="C88:G88"/>
    <mergeCell ref="C89:D89"/>
    <mergeCell ref="F89:G89"/>
    <mergeCell ref="C90:D91"/>
    <mergeCell ref="B93:G93"/>
    <mergeCell ref="D94:E94"/>
  </mergeCells>
  <pageMargins left="0.23622047244094491" right="0.23622047244094491" top="0" bottom="0.74803149606299213" header="0.31496062992125984" footer="0.31496062992125984"/>
  <pageSetup fitToWidth="0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pageSetUpPr fitToPage="1"/>
  </sheetPr>
  <dimension ref="C1:O18"/>
  <sheetViews>
    <sheetView topLeftCell="A14" workbookViewId="0">
      <selection activeCell="G26" sqref="G26"/>
    </sheetView>
  </sheetViews>
  <sheetFormatPr baseColWidth="10" defaultColWidth="11.42578125" defaultRowHeight="15" x14ac:dyDescent="0.25"/>
  <cols>
    <col min="1" max="1" width="11.42578125" style="1"/>
    <col min="2" max="2" width="3.42578125" style="1" customWidth="1"/>
    <col min="3" max="3" width="32.5703125" style="1" customWidth="1"/>
    <col min="4" max="4" width="11.42578125" style="1"/>
    <col min="5" max="5" width="11.42578125" style="22"/>
    <col min="6" max="16384" width="11.42578125" style="1"/>
  </cols>
  <sheetData>
    <row r="1" spans="3:15" x14ac:dyDescent="0.25">
      <c r="D1" s="250" t="s">
        <v>75</v>
      </c>
      <c r="E1" s="11" t="s">
        <v>74</v>
      </c>
      <c r="F1" s="250" t="s">
        <v>73</v>
      </c>
      <c r="G1" s="250"/>
      <c r="H1" s="250"/>
      <c r="I1" s="250"/>
      <c r="J1" s="250" t="s">
        <v>72</v>
      </c>
      <c r="K1" s="250"/>
      <c r="L1" s="250"/>
      <c r="N1" s="1" t="s">
        <v>71</v>
      </c>
    </row>
    <row r="2" spans="3:15" x14ac:dyDescent="0.25">
      <c r="C2" s="26" t="s">
        <v>70</v>
      </c>
      <c r="D2" s="250"/>
      <c r="F2" s="1" t="s">
        <v>68</v>
      </c>
      <c r="G2" s="1" t="s">
        <v>67</v>
      </c>
      <c r="H2" s="1" t="s">
        <v>66</v>
      </c>
      <c r="I2" s="1" t="s">
        <v>69</v>
      </c>
      <c r="J2" s="1" t="s">
        <v>68</v>
      </c>
      <c r="K2" s="1" t="s">
        <v>67</v>
      </c>
      <c r="L2" s="1" t="s">
        <v>66</v>
      </c>
      <c r="M2" s="1" t="s">
        <v>68</v>
      </c>
      <c r="N2" s="1" t="s">
        <v>67</v>
      </c>
      <c r="O2" s="1" t="s">
        <v>66</v>
      </c>
    </row>
    <row r="3" spans="3:15" x14ac:dyDescent="0.25">
      <c r="C3" s="1" t="s">
        <v>65</v>
      </c>
      <c r="D3" s="24">
        <v>300</v>
      </c>
      <c r="F3" s="22"/>
      <c r="G3" s="22"/>
      <c r="H3" s="22"/>
      <c r="I3" s="22"/>
      <c r="J3" s="22"/>
      <c r="K3" s="22"/>
      <c r="L3" s="22"/>
      <c r="M3" s="270" t="s">
        <v>64</v>
      </c>
      <c r="N3" s="270" t="s">
        <v>63</v>
      </c>
      <c r="O3" s="270"/>
    </row>
    <row r="4" spans="3:15" x14ac:dyDescent="0.25">
      <c r="C4" s="1" t="s">
        <v>62</v>
      </c>
      <c r="D4" s="25">
        <f>F4+G4+H4+I4</f>
        <v>45</v>
      </c>
      <c r="F4" s="1">
        <v>15</v>
      </c>
      <c r="G4" s="1">
        <v>15</v>
      </c>
      <c r="H4" s="1">
        <v>15</v>
      </c>
      <c r="I4" s="1">
        <v>0</v>
      </c>
      <c r="J4" s="22"/>
      <c r="K4" s="22"/>
      <c r="L4" s="22"/>
      <c r="M4" s="270"/>
      <c r="N4" s="270"/>
      <c r="O4" s="270"/>
    </row>
    <row r="5" spans="3:15" x14ac:dyDescent="0.25">
      <c r="F5" s="22"/>
      <c r="G5" s="22"/>
      <c r="H5" s="22"/>
      <c r="I5" s="22"/>
      <c r="M5" s="270"/>
      <c r="N5" s="270"/>
      <c r="O5" s="270"/>
    </row>
    <row r="6" spans="3:15" x14ac:dyDescent="0.25">
      <c r="C6" s="1" t="s">
        <v>61</v>
      </c>
      <c r="D6" s="23">
        <f>J6+K6+L6</f>
        <v>28</v>
      </c>
      <c r="E6" s="11">
        <v>0</v>
      </c>
      <c r="F6" s="22"/>
      <c r="G6" s="22"/>
      <c r="H6" s="22"/>
      <c r="I6" s="22"/>
      <c r="J6" s="1">
        <v>1</v>
      </c>
      <c r="K6" s="1">
        <v>0</v>
      </c>
      <c r="L6" s="1">
        <v>27</v>
      </c>
      <c r="M6" s="270"/>
      <c r="N6" s="270"/>
      <c r="O6" s="270"/>
    </row>
    <row r="7" spans="3:15" x14ac:dyDescent="0.25">
      <c r="F7" s="22"/>
      <c r="G7" s="22"/>
      <c r="H7" s="22"/>
      <c r="I7" s="22"/>
      <c r="M7" s="270"/>
      <c r="N7" s="270"/>
      <c r="O7" s="270"/>
    </row>
    <row r="8" spans="3:15" x14ac:dyDescent="0.25">
      <c r="C8" s="1" t="s">
        <v>60</v>
      </c>
      <c r="D8" s="23"/>
      <c r="F8" s="22"/>
      <c r="G8" s="22"/>
      <c r="H8" s="22"/>
      <c r="I8" s="22"/>
      <c r="J8" s="1">
        <v>1</v>
      </c>
      <c r="M8" s="270"/>
      <c r="N8" s="270"/>
      <c r="O8" s="270"/>
    </row>
    <row r="9" spans="3:15" x14ac:dyDescent="0.25">
      <c r="C9" s="1" t="s">
        <v>59</v>
      </c>
      <c r="D9" s="24"/>
      <c r="F9" s="22"/>
      <c r="G9" s="22"/>
      <c r="H9" s="22"/>
      <c r="I9" s="22"/>
      <c r="M9" s="270"/>
      <c r="N9" s="270"/>
      <c r="O9" s="270"/>
    </row>
    <row r="10" spans="3:15" x14ac:dyDescent="0.25">
      <c r="C10" s="1" t="s">
        <v>58</v>
      </c>
      <c r="D10" s="23"/>
      <c r="F10" s="22"/>
      <c r="G10" s="22"/>
      <c r="H10" s="22"/>
      <c r="I10" s="22"/>
      <c r="M10" s="270"/>
      <c r="N10" s="270"/>
      <c r="O10" s="270"/>
    </row>
    <row r="11" spans="3:15" x14ac:dyDescent="0.25">
      <c r="M11" s="270"/>
      <c r="N11" s="270"/>
      <c r="O11" s="270"/>
    </row>
    <row r="12" spans="3:15" x14ac:dyDescent="0.25">
      <c r="C12" s="1" t="s">
        <v>57</v>
      </c>
      <c r="D12" s="1">
        <f>D3-D4-D6-D8-D9-D10</f>
        <v>227</v>
      </c>
      <c r="M12" s="270"/>
      <c r="N12" s="270"/>
      <c r="O12" s="270"/>
    </row>
    <row r="13" spans="3:15" x14ac:dyDescent="0.25">
      <c r="M13" s="270"/>
      <c r="N13" s="270"/>
      <c r="O13" s="270"/>
    </row>
    <row r="14" spans="3:15" x14ac:dyDescent="0.25">
      <c r="M14" s="270"/>
      <c r="N14" s="270"/>
      <c r="O14" s="270"/>
    </row>
    <row r="15" spans="3:15" x14ac:dyDescent="0.25">
      <c r="C15" s="1">
        <v>231</v>
      </c>
      <c r="M15" s="270"/>
      <c r="N15" s="270"/>
      <c r="O15" s="270"/>
    </row>
    <row r="16" spans="3:15" x14ac:dyDescent="0.25">
      <c r="C16" s="1">
        <v>-4</v>
      </c>
      <c r="M16" s="270"/>
      <c r="N16" s="270"/>
      <c r="O16" s="270"/>
    </row>
    <row r="17" spans="3:15" x14ac:dyDescent="0.25">
      <c r="C17" s="1">
        <f>SUM(C15:C16)</f>
        <v>227</v>
      </c>
      <c r="M17" s="270"/>
      <c r="N17" s="270"/>
      <c r="O17" s="270"/>
    </row>
    <row r="18" spans="3:15" x14ac:dyDescent="0.25">
      <c r="M18" s="270"/>
      <c r="N18" s="270"/>
      <c r="O18" s="270"/>
    </row>
  </sheetData>
  <mergeCells count="6">
    <mergeCell ref="J1:L1"/>
    <mergeCell ref="M3:M18"/>
    <mergeCell ref="N3:N18"/>
    <mergeCell ref="O3:O18"/>
    <mergeCell ref="D1:D2"/>
    <mergeCell ref="F1:I1"/>
  </mergeCells>
  <pageMargins left="0.7" right="0.7" top="0.75" bottom="0.75" header="0.3" footer="0.3"/>
  <pageSetup scale="6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98"/>
  <sheetViews>
    <sheetView topLeftCell="A5" workbookViewId="0">
      <selection activeCell="G19" sqref="G19"/>
    </sheetView>
  </sheetViews>
  <sheetFormatPr baseColWidth="10" defaultColWidth="11.42578125" defaultRowHeight="15" x14ac:dyDescent="0.25"/>
  <sheetData>
    <row r="1" spans="2:13" x14ac:dyDescent="0.25">
      <c r="E1" t="s">
        <v>452</v>
      </c>
      <c r="F1">
        <v>10</v>
      </c>
      <c r="G1">
        <v>10</v>
      </c>
      <c r="H1">
        <v>50</v>
      </c>
    </row>
    <row r="3" spans="2:13" x14ac:dyDescent="0.25">
      <c r="B3" t="s">
        <v>450</v>
      </c>
      <c r="C3" s="231">
        <v>25</v>
      </c>
      <c r="D3" s="231">
        <v>36</v>
      </c>
      <c r="E3" s="231">
        <v>68</v>
      </c>
      <c r="F3" s="231">
        <v>11</v>
      </c>
      <c r="G3" s="231"/>
      <c r="H3" s="231"/>
      <c r="I3" s="231"/>
      <c r="J3" s="231"/>
      <c r="K3" s="231"/>
      <c r="L3" s="231"/>
      <c r="M3" s="231"/>
    </row>
    <row r="5" spans="2:13" x14ac:dyDescent="0.25">
      <c r="B5" s="271" t="s">
        <v>451</v>
      </c>
      <c r="C5" s="271"/>
      <c r="D5" s="271"/>
      <c r="E5" s="271"/>
      <c r="F5" s="271"/>
      <c r="G5" s="271"/>
      <c r="H5" s="271"/>
      <c r="I5" s="271"/>
      <c r="J5" s="271"/>
      <c r="K5" s="271"/>
      <c r="L5" s="271"/>
    </row>
    <row r="8" spans="2:13" x14ac:dyDescent="0.25">
      <c r="C8">
        <v>10</v>
      </c>
      <c r="D8">
        <v>150</v>
      </c>
      <c r="E8">
        <v>25</v>
      </c>
    </row>
    <row r="9" spans="2:13" x14ac:dyDescent="0.25">
      <c r="C9" s="231">
        <v>11</v>
      </c>
      <c r="D9">
        <v>25</v>
      </c>
      <c r="E9">
        <v>150</v>
      </c>
      <c r="F9">
        <v>50</v>
      </c>
    </row>
    <row r="10" spans="2:13" x14ac:dyDescent="0.25">
      <c r="C10">
        <v>12</v>
      </c>
    </row>
    <row r="11" spans="2:13" x14ac:dyDescent="0.25">
      <c r="C11">
        <v>13</v>
      </c>
    </row>
    <row r="12" spans="2:13" x14ac:dyDescent="0.25">
      <c r="C12">
        <v>14</v>
      </c>
    </row>
    <row r="13" spans="2:13" x14ac:dyDescent="0.25">
      <c r="C13" s="231">
        <v>15</v>
      </c>
      <c r="D13">
        <v>25</v>
      </c>
      <c r="E13">
        <v>25</v>
      </c>
      <c r="F13">
        <v>10</v>
      </c>
      <c r="G13" t="s">
        <v>455</v>
      </c>
    </row>
    <row r="14" spans="2:13" x14ac:dyDescent="0.25">
      <c r="C14">
        <v>16</v>
      </c>
    </row>
    <row r="15" spans="2:13" x14ac:dyDescent="0.25">
      <c r="C15">
        <v>17</v>
      </c>
    </row>
    <row r="16" spans="2:13" x14ac:dyDescent="0.25">
      <c r="C16">
        <v>18</v>
      </c>
    </row>
    <row r="17" spans="3:9" x14ac:dyDescent="0.25">
      <c r="C17">
        <v>19</v>
      </c>
    </row>
    <row r="18" spans="3:9" x14ac:dyDescent="0.25">
      <c r="C18">
        <v>20</v>
      </c>
    </row>
    <row r="19" spans="3:9" x14ac:dyDescent="0.25">
      <c r="C19">
        <v>21</v>
      </c>
    </row>
    <row r="20" spans="3:9" x14ac:dyDescent="0.25">
      <c r="C20">
        <v>22</v>
      </c>
    </row>
    <row r="21" spans="3:9" x14ac:dyDescent="0.25">
      <c r="C21">
        <v>23</v>
      </c>
    </row>
    <row r="22" spans="3:9" x14ac:dyDescent="0.25">
      <c r="C22">
        <v>24</v>
      </c>
    </row>
    <row r="23" spans="3:9" x14ac:dyDescent="0.25">
      <c r="C23" s="231">
        <v>25</v>
      </c>
    </row>
    <row r="24" spans="3:9" x14ac:dyDescent="0.25">
      <c r="C24">
        <v>26</v>
      </c>
    </row>
    <row r="25" spans="3:9" x14ac:dyDescent="0.25">
      <c r="C25">
        <v>27</v>
      </c>
    </row>
    <row r="26" spans="3:9" x14ac:dyDescent="0.25">
      <c r="C26">
        <v>28</v>
      </c>
    </row>
    <row r="27" spans="3:9" x14ac:dyDescent="0.25">
      <c r="C27">
        <v>29</v>
      </c>
    </row>
    <row r="28" spans="3:9" x14ac:dyDescent="0.25">
      <c r="C28">
        <v>30</v>
      </c>
      <c r="D28">
        <v>150</v>
      </c>
      <c r="E28">
        <v>100</v>
      </c>
      <c r="F28">
        <v>25</v>
      </c>
      <c r="G28">
        <v>10</v>
      </c>
      <c r="H28" t="s">
        <v>453</v>
      </c>
      <c r="I28" t="s">
        <v>454</v>
      </c>
    </row>
    <row r="29" spans="3:9" x14ac:dyDescent="0.25">
      <c r="C29">
        <v>31</v>
      </c>
    </row>
    <row r="30" spans="3:9" x14ac:dyDescent="0.25">
      <c r="C30">
        <v>32</v>
      </c>
    </row>
    <row r="31" spans="3:9" x14ac:dyDescent="0.25">
      <c r="C31">
        <v>33</v>
      </c>
    </row>
    <row r="32" spans="3:9" x14ac:dyDescent="0.25">
      <c r="C32">
        <v>34</v>
      </c>
    </row>
    <row r="33" spans="3:5" x14ac:dyDescent="0.25">
      <c r="C33">
        <v>35</v>
      </c>
      <c r="D33">
        <v>25</v>
      </c>
      <c r="E33">
        <v>20</v>
      </c>
    </row>
    <row r="34" spans="3:5" x14ac:dyDescent="0.25">
      <c r="C34" s="231">
        <v>36</v>
      </c>
    </row>
    <row r="35" spans="3:5" x14ac:dyDescent="0.25">
      <c r="C35">
        <v>37</v>
      </c>
    </row>
    <row r="36" spans="3:5" x14ac:dyDescent="0.25">
      <c r="C36">
        <v>38</v>
      </c>
    </row>
    <row r="37" spans="3:5" x14ac:dyDescent="0.25">
      <c r="C37">
        <v>39</v>
      </c>
    </row>
    <row r="38" spans="3:5" x14ac:dyDescent="0.25">
      <c r="C38">
        <v>40</v>
      </c>
    </row>
    <row r="39" spans="3:5" x14ac:dyDescent="0.25">
      <c r="C39">
        <v>41</v>
      </c>
    </row>
    <row r="40" spans="3:5" x14ac:dyDescent="0.25">
      <c r="C40">
        <v>42</v>
      </c>
    </row>
    <row r="41" spans="3:5" x14ac:dyDescent="0.25">
      <c r="C41">
        <v>43</v>
      </c>
    </row>
    <row r="42" spans="3:5" x14ac:dyDescent="0.25">
      <c r="C42">
        <v>44</v>
      </c>
    </row>
    <row r="43" spans="3:5" x14ac:dyDescent="0.25">
      <c r="C43">
        <v>45</v>
      </c>
      <c r="D43">
        <v>25</v>
      </c>
      <c r="E43">
        <v>20</v>
      </c>
    </row>
    <row r="44" spans="3:5" x14ac:dyDescent="0.25">
      <c r="C44">
        <v>46</v>
      </c>
    </row>
    <row r="45" spans="3:5" x14ac:dyDescent="0.25">
      <c r="C45">
        <v>47</v>
      </c>
    </row>
    <row r="46" spans="3:5" x14ac:dyDescent="0.25">
      <c r="C46">
        <v>48</v>
      </c>
    </row>
    <row r="47" spans="3:5" x14ac:dyDescent="0.25">
      <c r="C47">
        <v>49</v>
      </c>
    </row>
    <row r="48" spans="3:5" x14ac:dyDescent="0.25">
      <c r="C48">
        <v>50</v>
      </c>
    </row>
    <row r="49" spans="3:3" x14ac:dyDescent="0.25">
      <c r="C49">
        <v>51</v>
      </c>
    </row>
    <row r="50" spans="3:3" x14ac:dyDescent="0.25">
      <c r="C50">
        <v>52</v>
      </c>
    </row>
    <row r="51" spans="3:3" x14ac:dyDescent="0.25">
      <c r="C51">
        <v>53</v>
      </c>
    </row>
    <row r="52" spans="3:3" x14ac:dyDescent="0.25">
      <c r="C52">
        <v>54</v>
      </c>
    </row>
    <row r="53" spans="3:3" x14ac:dyDescent="0.25">
      <c r="C53">
        <v>55</v>
      </c>
    </row>
    <row r="54" spans="3:3" x14ac:dyDescent="0.25">
      <c r="C54">
        <v>56</v>
      </c>
    </row>
    <row r="55" spans="3:3" x14ac:dyDescent="0.25">
      <c r="C55">
        <v>57</v>
      </c>
    </row>
    <row r="56" spans="3:3" x14ac:dyDescent="0.25">
      <c r="C56">
        <v>58</v>
      </c>
    </row>
    <row r="57" spans="3:3" x14ac:dyDescent="0.25">
      <c r="C57">
        <v>59</v>
      </c>
    </row>
    <row r="58" spans="3:3" x14ac:dyDescent="0.25">
      <c r="C58">
        <v>60</v>
      </c>
    </row>
    <row r="59" spans="3:3" x14ac:dyDescent="0.25">
      <c r="C59">
        <v>61</v>
      </c>
    </row>
    <row r="60" spans="3:3" x14ac:dyDescent="0.25">
      <c r="C60">
        <v>62</v>
      </c>
    </row>
    <row r="61" spans="3:3" x14ac:dyDescent="0.25">
      <c r="C61">
        <v>63</v>
      </c>
    </row>
    <row r="62" spans="3:3" x14ac:dyDescent="0.25">
      <c r="C62">
        <v>64</v>
      </c>
    </row>
    <row r="63" spans="3:3" x14ac:dyDescent="0.25">
      <c r="C63">
        <v>65</v>
      </c>
    </row>
    <row r="64" spans="3:3" x14ac:dyDescent="0.25">
      <c r="C64">
        <v>66</v>
      </c>
    </row>
    <row r="65" spans="3:3" x14ac:dyDescent="0.25">
      <c r="C65">
        <v>67</v>
      </c>
    </row>
    <row r="66" spans="3:3" x14ac:dyDescent="0.25">
      <c r="C66" s="231">
        <v>68</v>
      </c>
    </row>
    <row r="67" spans="3:3" x14ac:dyDescent="0.25">
      <c r="C67">
        <v>69</v>
      </c>
    </row>
    <row r="68" spans="3:3" x14ac:dyDescent="0.25">
      <c r="C68">
        <v>70</v>
      </c>
    </row>
    <row r="69" spans="3:3" x14ac:dyDescent="0.25">
      <c r="C69">
        <v>71</v>
      </c>
    </row>
    <row r="70" spans="3:3" x14ac:dyDescent="0.25">
      <c r="C70">
        <v>72</v>
      </c>
    </row>
    <row r="71" spans="3:3" x14ac:dyDescent="0.25">
      <c r="C71">
        <v>73</v>
      </c>
    </row>
    <row r="72" spans="3:3" x14ac:dyDescent="0.25">
      <c r="C72">
        <v>74</v>
      </c>
    </row>
    <row r="73" spans="3:3" x14ac:dyDescent="0.25">
      <c r="C73">
        <v>75</v>
      </c>
    </row>
    <row r="74" spans="3:3" x14ac:dyDescent="0.25">
      <c r="C74">
        <v>76</v>
      </c>
    </row>
    <row r="75" spans="3:3" x14ac:dyDescent="0.25">
      <c r="C75">
        <v>77</v>
      </c>
    </row>
    <row r="76" spans="3:3" x14ac:dyDescent="0.25">
      <c r="C76">
        <v>78</v>
      </c>
    </row>
    <row r="77" spans="3:3" x14ac:dyDescent="0.25">
      <c r="C77">
        <v>79</v>
      </c>
    </row>
    <row r="78" spans="3:3" x14ac:dyDescent="0.25">
      <c r="C78">
        <v>80</v>
      </c>
    </row>
    <row r="79" spans="3:3" x14ac:dyDescent="0.25">
      <c r="C79">
        <v>81</v>
      </c>
    </row>
    <row r="80" spans="3:3" x14ac:dyDescent="0.25">
      <c r="C80">
        <v>82</v>
      </c>
    </row>
    <row r="81" spans="3:3" x14ac:dyDescent="0.25">
      <c r="C81">
        <v>83</v>
      </c>
    </row>
    <row r="82" spans="3:3" x14ac:dyDescent="0.25">
      <c r="C82">
        <v>84</v>
      </c>
    </row>
    <row r="83" spans="3:3" x14ac:dyDescent="0.25">
      <c r="C83">
        <v>85</v>
      </c>
    </row>
    <row r="84" spans="3:3" x14ac:dyDescent="0.25">
      <c r="C84">
        <v>86</v>
      </c>
    </row>
    <row r="85" spans="3:3" x14ac:dyDescent="0.25">
      <c r="C85">
        <v>87</v>
      </c>
    </row>
    <row r="86" spans="3:3" x14ac:dyDescent="0.25">
      <c r="C86">
        <v>88</v>
      </c>
    </row>
    <row r="87" spans="3:3" x14ac:dyDescent="0.25">
      <c r="C87">
        <v>89</v>
      </c>
    </row>
    <row r="88" spans="3:3" x14ac:dyDescent="0.25">
      <c r="C88">
        <v>90</v>
      </c>
    </row>
    <row r="89" spans="3:3" x14ac:dyDescent="0.25">
      <c r="C89">
        <v>91</v>
      </c>
    </row>
    <row r="90" spans="3:3" x14ac:dyDescent="0.25">
      <c r="C90">
        <v>92</v>
      </c>
    </row>
    <row r="91" spans="3:3" x14ac:dyDescent="0.25">
      <c r="C91">
        <v>93</v>
      </c>
    </row>
    <row r="92" spans="3:3" x14ac:dyDescent="0.25">
      <c r="C92">
        <v>94</v>
      </c>
    </row>
    <row r="93" spans="3:3" x14ac:dyDescent="0.25">
      <c r="C93">
        <v>95</v>
      </c>
    </row>
    <row r="94" spans="3:3" x14ac:dyDescent="0.25">
      <c r="C94">
        <v>96</v>
      </c>
    </row>
    <row r="95" spans="3:3" x14ac:dyDescent="0.25">
      <c r="C95">
        <v>97</v>
      </c>
    </row>
    <row r="96" spans="3:3" x14ac:dyDescent="0.25">
      <c r="C96">
        <v>98</v>
      </c>
    </row>
    <row r="97" spans="3:3" x14ac:dyDescent="0.25">
      <c r="C97">
        <v>99</v>
      </c>
    </row>
    <row r="98" spans="3:3" x14ac:dyDescent="0.25">
      <c r="C98">
        <v>100</v>
      </c>
    </row>
  </sheetData>
  <mergeCells count="1">
    <mergeCell ref="B5:L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G25"/>
  <sheetViews>
    <sheetView topLeftCell="A4" workbookViewId="0">
      <selection activeCell="H22" sqref="H22"/>
    </sheetView>
  </sheetViews>
  <sheetFormatPr baseColWidth="10" defaultColWidth="11.42578125" defaultRowHeight="15" x14ac:dyDescent="0.25"/>
  <cols>
    <col min="2" max="2" width="12.28515625" customWidth="1"/>
    <col min="3" max="3" width="20" customWidth="1"/>
    <col min="7" max="7" width="13.42578125" customWidth="1"/>
  </cols>
  <sheetData>
    <row r="2" spans="2:7" x14ac:dyDescent="0.25">
      <c r="B2" s="71"/>
      <c r="C2" s="250" t="s">
        <v>22</v>
      </c>
      <c r="D2" s="250"/>
      <c r="E2" s="42"/>
      <c r="F2" s="71"/>
      <c r="G2" s="71"/>
    </row>
    <row r="3" spans="2:7" x14ac:dyDescent="0.25">
      <c r="B3" s="71"/>
      <c r="C3" s="251"/>
      <c r="D3" s="251"/>
      <c r="E3" s="71"/>
      <c r="F3" s="43"/>
      <c r="G3" s="71"/>
    </row>
    <row r="4" spans="2:7" x14ac:dyDescent="0.25">
      <c r="B4" s="71"/>
      <c r="C4" s="27" t="s">
        <v>77</v>
      </c>
      <c r="D4" s="41">
        <v>4</v>
      </c>
      <c r="E4" s="70" t="s">
        <v>125</v>
      </c>
      <c r="F4" s="56">
        <v>10</v>
      </c>
      <c r="G4" s="71"/>
    </row>
    <row r="5" spans="2:7" x14ac:dyDescent="0.25">
      <c r="B5" s="71"/>
      <c r="C5" s="29" t="s">
        <v>76</v>
      </c>
      <c r="D5" s="73">
        <f>IFERROR(VLOOKUP(D4,'DATOS REGISTRADOS'!B:Q,16,FALSE)," ")</f>
        <v>1</v>
      </c>
      <c r="E5" s="30" t="s">
        <v>78</v>
      </c>
      <c r="F5" s="31">
        <f ca="1">TODAY()</f>
        <v>44377</v>
      </c>
      <c r="G5" s="71"/>
    </row>
    <row r="6" spans="2:7" x14ac:dyDescent="0.25">
      <c r="B6" s="256" t="s">
        <v>79</v>
      </c>
      <c r="C6" s="256"/>
      <c r="D6" s="256"/>
      <c r="E6" s="256"/>
      <c r="F6" s="256"/>
      <c r="G6" s="256"/>
    </row>
    <row r="7" spans="2:7" x14ac:dyDescent="0.25">
      <c r="B7" s="70" t="s">
        <v>80</v>
      </c>
      <c r="C7" s="257" t="str">
        <f>IFERROR(VLOOKUP(D4,'DATOS REGISTRADOS'!B:C,2,FALSE)," ")</f>
        <v>DAVID PARRILLA DE LEON</v>
      </c>
      <c r="D7" s="257"/>
      <c r="E7" s="258"/>
      <c r="F7" s="258"/>
      <c r="G7" s="258"/>
    </row>
    <row r="8" spans="2:7" x14ac:dyDescent="0.25">
      <c r="B8" s="72" t="s">
        <v>81</v>
      </c>
      <c r="C8" s="264" t="str">
        <f>IFERROR(VLOOKUP(D4,'DATOS REGISTRADOS'!B:Q,3,FALSE)," ")</f>
        <v>CALLE 3 #193</v>
      </c>
      <c r="D8" s="265"/>
      <c r="E8" s="35" t="s">
        <v>82</v>
      </c>
      <c r="F8" s="258">
        <f>IFERROR(VLOOKUP(D4,'DATOS REGISTRADOS'!B:Q,7,FALSE)," ")</f>
        <v>5511267068</v>
      </c>
      <c r="G8" s="258"/>
    </row>
    <row r="9" spans="2:7" x14ac:dyDescent="0.25">
      <c r="B9" s="71"/>
      <c r="C9" s="243" t="str">
        <f>IFERROR(VLOOKUP(D4,'DATOS REGISTRADOS'!B:Q,4,FALSE)," ")</f>
        <v>COL ESPERANZA, CD NEZA</v>
      </c>
      <c r="D9" s="244"/>
      <c r="E9" s="71"/>
      <c r="F9" s="71"/>
      <c r="G9" s="71"/>
    </row>
    <row r="10" spans="2:7" x14ac:dyDescent="0.25">
      <c r="B10" s="71"/>
      <c r="C10" s="66" t="str">
        <f>IFERROR(VLOOKUP(D4,'DATOS REGISTRADOS'!B:Q,5,FALSE)," ")</f>
        <v>EDO MEX</v>
      </c>
      <c r="D10" s="67">
        <f>IFERROR(VLOOKUP(D4,'DATOS REGISTRADOS'!B:Q,6,FALSE)," ")</f>
        <v>57800</v>
      </c>
      <c r="E10" s="71"/>
      <c r="F10" s="71"/>
      <c r="G10" s="71"/>
    </row>
    <row r="11" spans="2:7" x14ac:dyDescent="0.25">
      <c r="B11" s="256" t="s">
        <v>83</v>
      </c>
      <c r="C11" s="262"/>
      <c r="D11" s="262"/>
      <c r="E11" s="256"/>
      <c r="F11" s="256"/>
      <c r="G11" s="256"/>
    </row>
    <row r="12" spans="2:7" x14ac:dyDescent="0.25">
      <c r="B12" s="70" t="s">
        <v>84</v>
      </c>
      <c r="C12" s="249" t="s">
        <v>85</v>
      </c>
      <c r="D12" s="249"/>
      <c r="E12" s="70" t="s">
        <v>86</v>
      </c>
      <c r="F12" s="70" t="s">
        <v>87</v>
      </c>
      <c r="G12" s="70" t="s">
        <v>57</v>
      </c>
    </row>
    <row r="13" spans="2:7" x14ac:dyDescent="0.25">
      <c r="B13" s="41" t="s">
        <v>127</v>
      </c>
      <c r="C13" s="241" t="str">
        <f>IFERROR(VLOOKUP(B13,'Productos '!B:C,2,FALSE)," ")</f>
        <v>Bono XPRESS 8 productos</v>
      </c>
      <c r="D13" s="242"/>
      <c r="E13" s="41"/>
      <c r="F13" s="40">
        <f>IFERROR(VLOOKUP(B13,'Productos '!B:G,3,FALSE)," ")</f>
        <v>3017.2413793103447</v>
      </c>
      <c r="G13" s="40">
        <f>IFERROR((F13*E13)," ")</f>
        <v>0</v>
      </c>
    </row>
    <row r="14" spans="2:7" x14ac:dyDescent="0.25">
      <c r="B14" s="41" t="s">
        <v>126</v>
      </c>
      <c r="C14" s="241" t="str">
        <f>IFERROR(VLOOKUP(B14,'Productos '!B:C,2,FALSE)," ")</f>
        <v>Recompra 1 Activador Celular</v>
      </c>
      <c r="D14" s="242"/>
      <c r="E14" s="41"/>
      <c r="F14" s="40">
        <f>IFERROR(VLOOKUP(B14,'Productos '!B:G,3,FALSE)," ")</f>
        <v>431.0344827586207</v>
      </c>
      <c r="G14" s="40">
        <f t="shared" ref="G14:G19" si="0">IFERROR((F14*E14)," ")</f>
        <v>0</v>
      </c>
    </row>
    <row r="15" spans="2:7" x14ac:dyDescent="0.25">
      <c r="B15" s="41"/>
      <c r="C15" s="241" t="str">
        <f>IFERROR(VLOOKUP(B15,'Productos '!B:C,2,FALSE)," ")</f>
        <v xml:space="preserve"> </v>
      </c>
      <c r="D15" s="242"/>
      <c r="E15" s="41"/>
      <c r="F15" s="40" t="str">
        <f>IFERROR(VLOOKUP(B15,'Productos '!B:G,3,FALSE)," ")</f>
        <v xml:space="preserve"> </v>
      </c>
      <c r="G15" s="40" t="str">
        <f t="shared" si="0"/>
        <v xml:space="preserve"> </v>
      </c>
    </row>
    <row r="16" spans="2:7" x14ac:dyDescent="0.25">
      <c r="B16" s="41"/>
      <c r="C16" s="241" t="str">
        <f>IFERROR(VLOOKUP(B16,'Productos '!B:C,2,FALSE)," ")</f>
        <v xml:space="preserve"> </v>
      </c>
      <c r="D16" s="242"/>
      <c r="E16" s="41"/>
      <c r="F16" s="40" t="str">
        <f>IFERROR(VLOOKUP(B16,'Productos '!B:G,3,FALSE)," ")</f>
        <v xml:space="preserve"> </v>
      </c>
      <c r="G16" s="40" t="str">
        <f t="shared" si="0"/>
        <v xml:space="preserve"> </v>
      </c>
    </row>
    <row r="17" spans="2:7" x14ac:dyDescent="0.25">
      <c r="B17" s="41"/>
      <c r="C17" s="241" t="str">
        <f>IFERROR(VLOOKUP(B17,'Productos '!B:C,2,FALSE)," ")</f>
        <v xml:space="preserve"> </v>
      </c>
      <c r="D17" s="242"/>
      <c r="E17" s="41"/>
      <c r="F17" s="40" t="str">
        <f>IFERROR(VLOOKUP(B17,'Productos '!B:G,3,FALSE)," ")</f>
        <v xml:space="preserve"> </v>
      </c>
      <c r="G17" s="40" t="str">
        <f t="shared" si="0"/>
        <v xml:space="preserve"> </v>
      </c>
    </row>
    <row r="18" spans="2:7" x14ac:dyDescent="0.25">
      <c r="B18" s="41"/>
      <c r="C18" s="241" t="str">
        <f>IFERROR(VLOOKUP(B18,'Productos '!B:C,2,FALSE)," ")</f>
        <v xml:space="preserve"> </v>
      </c>
      <c r="D18" s="242"/>
      <c r="E18" s="41"/>
      <c r="F18" s="40" t="str">
        <f>IFERROR(VLOOKUP(B18,'Productos '!B:G,3,FALSE)," ")</f>
        <v xml:space="preserve"> </v>
      </c>
      <c r="G18" s="40" t="str">
        <f t="shared" si="0"/>
        <v xml:space="preserve"> </v>
      </c>
    </row>
    <row r="19" spans="2:7" x14ac:dyDescent="0.25">
      <c r="B19" s="41"/>
      <c r="C19" s="241" t="str">
        <f>IFERROR(VLOOKUP(B19,'Productos '!B:C,2,FALSE)," ")</f>
        <v xml:space="preserve"> </v>
      </c>
      <c r="D19" s="242"/>
      <c r="E19" s="41"/>
      <c r="F19" s="40" t="str">
        <f>IFERROR(VLOOKUP(B19,'Productos '!B:G,3,FALSE)," ")</f>
        <v xml:space="preserve"> </v>
      </c>
      <c r="G19" s="40" t="str">
        <f t="shared" si="0"/>
        <v xml:space="preserve"> </v>
      </c>
    </row>
    <row r="20" spans="2:7" x14ac:dyDescent="0.25">
      <c r="B20" s="71"/>
      <c r="C20" s="253" t="s">
        <v>88</v>
      </c>
      <c r="D20" s="254"/>
      <c r="E20" s="38">
        <f>SUM(E13:E19)</f>
        <v>0</v>
      </c>
      <c r="F20" s="70" t="s">
        <v>89</v>
      </c>
      <c r="G20" s="40">
        <f>SUM(G13:G19)</f>
        <v>0</v>
      </c>
    </row>
    <row r="21" spans="2:7" x14ac:dyDescent="0.25">
      <c r="B21" s="71"/>
      <c r="C21" s="71"/>
      <c r="D21" s="71"/>
      <c r="E21" s="71"/>
      <c r="F21" s="70" t="s">
        <v>90</v>
      </c>
      <c r="G21" s="40">
        <f>G20*16%</f>
        <v>0</v>
      </c>
    </row>
    <row r="22" spans="2:7" x14ac:dyDescent="0.25">
      <c r="B22" s="70" t="s">
        <v>91</v>
      </c>
      <c r="C22" s="241" t="str">
        <f>IFERROR(VLOOKUP(D4,'DATOS REGISTRADOS'!B:R,17,FALSE)," ")</f>
        <v>LIN LIFE</v>
      </c>
      <c r="D22" s="252"/>
      <c r="E22" s="242"/>
      <c r="F22" s="70" t="s">
        <v>57</v>
      </c>
      <c r="G22" s="68">
        <f>SUM(G20:G21)</f>
        <v>0</v>
      </c>
    </row>
    <row r="23" spans="2:7" x14ac:dyDescent="0.25">
      <c r="B23" s="245" t="s">
        <v>129</v>
      </c>
      <c r="C23" s="245"/>
      <c r="D23" s="245"/>
      <c r="E23" s="245"/>
      <c r="F23" s="245"/>
      <c r="G23" s="245"/>
    </row>
    <row r="24" spans="2:7" x14ac:dyDescent="0.25">
      <c r="B24" s="246" t="s">
        <v>124</v>
      </c>
      <c r="C24" s="247"/>
      <c r="D24" s="247"/>
      <c r="E24" s="247"/>
      <c r="F24" s="247"/>
      <c r="G24" s="248"/>
    </row>
    <row r="25" spans="2:7" x14ac:dyDescent="0.25">
      <c r="B25" s="54" t="s">
        <v>123</v>
      </c>
      <c r="C25" s="69"/>
      <c r="D25" s="245" t="s">
        <v>128</v>
      </c>
      <c r="E25" s="245"/>
      <c r="F25" s="245"/>
      <c r="G25" s="245"/>
    </row>
  </sheetData>
  <mergeCells count="20">
    <mergeCell ref="C16:D16"/>
    <mergeCell ref="C2:D3"/>
    <mergeCell ref="B6:G6"/>
    <mergeCell ref="C7:G7"/>
    <mergeCell ref="C8:D8"/>
    <mergeCell ref="F8:G8"/>
    <mergeCell ref="C9:D9"/>
    <mergeCell ref="B11:G11"/>
    <mergeCell ref="C12:D12"/>
    <mergeCell ref="C13:D13"/>
    <mergeCell ref="C14:D14"/>
    <mergeCell ref="C15:D15"/>
    <mergeCell ref="B24:G24"/>
    <mergeCell ref="D25:G25"/>
    <mergeCell ref="C17:D17"/>
    <mergeCell ref="C18:D18"/>
    <mergeCell ref="C19:D19"/>
    <mergeCell ref="C20:D20"/>
    <mergeCell ref="C22:E22"/>
    <mergeCell ref="B23:G2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C2:GU13"/>
  <sheetViews>
    <sheetView workbookViewId="0">
      <selection activeCell="E13" sqref="E13"/>
    </sheetView>
  </sheetViews>
  <sheetFormatPr baseColWidth="10" defaultColWidth="11.42578125" defaultRowHeight="15" x14ac:dyDescent="0.25"/>
  <cols>
    <col min="1" max="16384" width="11.42578125" style="71"/>
  </cols>
  <sheetData>
    <row r="2" spans="3:203" x14ac:dyDescent="0.25">
      <c r="C2" s="71" t="s">
        <v>138</v>
      </c>
    </row>
    <row r="4" spans="3:203" x14ac:dyDescent="0.25">
      <c r="D4" s="71">
        <v>1</v>
      </c>
      <c r="E4" s="71">
        <v>2</v>
      </c>
      <c r="F4" s="71">
        <v>3</v>
      </c>
      <c r="G4" s="71">
        <v>4</v>
      </c>
      <c r="H4" s="71">
        <v>5</v>
      </c>
      <c r="I4" s="71">
        <v>6</v>
      </c>
      <c r="J4" s="71">
        <v>7</v>
      </c>
      <c r="K4" s="71">
        <v>8</v>
      </c>
      <c r="L4" s="71">
        <v>9</v>
      </c>
      <c r="M4" s="71">
        <v>10</v>
      </c>
      <c r="N4" s="71">
        <v>11</v>
      </c>
      <c r="O4" s="71">
        <v>12</v>
      </c>
      <c r="P4" s="71">
        <v>13</v>
      </c>
      <c r="Q4" s="71">
        <v>14</v>
      </c>
      <c r="R4" s="71">
        <v>15</v>
      </c>
      <c r="S4" s="71">
        <v>16</v>
      </c>
      <c r="T4" s="71">
        <v>17</v>
      </c>
      <c r="U4" s="71">
        <v>18</v>
      </c>
      <c r="V4" s="71">
        <v>19</v>
      </c>
      <c r="W4" s="71">
        <v>20</v>
      </c>
      <c r="X4" s="71">
        <v>21</v>
      </c>
      <c r="Y4" s="71">
        <v>22</v>
      </c>
      <c r="Z4" s="71">
        <v>23</v>
      </c>
      <c r="AA4" s="71">
        <v>24</v>
      </c>
      <c r="AB4" s="71">
        <v>25</v>
      </c>
      <c r="AC4" s="71">
        <v>26</v>
      </c>
      <c r="AD4" s="71">
        <v>27</v>
      </c>
      <c r="AE4" s="71">
        <v>28</v>
      </c>
      <c r="AF4" s="71">
        <v>29</v>
      </c>
      <c r="AG4" s="71">
        <v>30</v>
      </c>
      <c r="AH4" s="71">
        <v>31</v>
      </c>
      <c r="AI4" s="71">
        <v>32</v>
      </c>
      <c r="AJ4" s="71">
        <v>33</v>
      </c>
      <c r="AK4" s="71">
        <v>34</v>
      </c>
      <c r="AL4" s="71">
        <v>35</v>
      </c>
      <c r="AM4" s="71">
        <v>36</v>
      </c>
      <c r="AN4" s="71">
        <v>37</v>
      </c>
      <c r="AO4" s="71">
        <v>38</v>
      </c>
      <c r="AP4" s="71">
        <v>39</v>
      </c>
      <c r="AQ4" s="71">
        <v>40</v>
      </c>
      <c r="AR4" s="71">
        <v>41</v>
      </c>
      <c r="AS4" s="71">
        <v>42</v>
      </c>
      <c r="AT4" s="71">
        <v>43</v>
      </c>
      <c r="AU4" s="71">
        <v>44</v>
      </c>
      <c r="AV4" s="71">
        <v>45</v>
      </c>
      <c r="AW4" s="71">
        <v>46</v>
      </c>
      <c r="AX4" s="71">
        <v>47</v>
      </c>
      <c r="AY4" s="71">
        <v>48</v>
      </c>
      <c r="AZ4" s="71">
        <v>49</v>
      </c>
      <c r="BA4" s="71">
        <v>50</v>
      </c>
      <c r="BB4" s="71">
        <v>51</v>
      </c>
      <c r="BC4" s="71">
        <v>52</v>
      </c>
      <c r="BD4" s="71">
        <v>53</v>
      </c>
      <c r="BE4" s="71">
        <v>54</v>
      </c>
      <c r="BF4" s="71">
        <v>55</v>
      </c>
      <c r="BG4" s="71">
        <v>56</v>
      </c>
      <c r="BH4" s="71">
        <v>57</v>
      </c>
      <c r="BI4" s="71">
        <v>58</v>
      </c>
      <c r="BJ4" s="71">
        <v>59</v>
      </c>
      <c r="BK4" s="71">
        <v>60</v>
      </c>
      <c r="BL4" s="71">
        <v>61</v>
      </c>
      <c r="BM4" s="71">
        <v>62</v>
      </c>
      <c r="BN4" s="71">
        <v>63</v>
      </c>
      <c r="BO4" s="71">
        <v>64</v>
      </c>
      <c r="BP4" s="71">
        <v>65</v>
      </c>
      <c r="BQ4" s="71">
        <v>66</v>
      </c>
      <c r="BR4" s="71">
        <v>67</v>
      </c>
      <c r="BS4" s="71">
        <v>68</v>
      </c>
      <c r="BT4" s="71">
        <v>69</v>
      </c>
      <c r="BU4" s="71">
        <v>70</v>
      </c>
      <c r="BV4" s="71">
        <v>71</v>
      </c>
      <c r="BW4" s="71">
        <v>72</v>
      </c>
      <c r="BX4" s="71">
        <v>73</v>
      </c>
      <c r="BY4" s="71">
        <v>74</v>
      </c>
      <c r="BZ4" s="71">
        <v>75</v>
      </c>
      <c r="CA4" s="71">
        <v>76</v>
      </c>
      <c r="CB4" s="71">
        <v>77</v>
      </c>
      <c r="CC4" s="71">
        <v>78</v>
      </c>
      <c r="CD4" s="71">
        <v>79</v>
      </c>
      <c r="CE4" s="71">
        <v>80</v>
      </c>
      <c r="CF4" s="71">
        <v>81</v>
      </c>
      <c r="CG4" s="71">
        <v>82</v>
      </c>
      <c r="CH4" s="71">
        <v>83</v>
      </c>
      <c r="CI4" s="71">
        <v>84</v>
      </c>
      <c r="CJ4" s="71">
        <v>85</v>
      </c>
      <c r="CK4" s="71">
        <v>86</v>
      </c>
      <c r="CL4" s="71">
        <v>87</v>
      </c>
      <c r="CM4" s="71">
        <v>88</v>
      </c>
      <c r="CN4" s="71">
        <v>89</v>
      </c>
      <c r="CO4" s="71">
        <v>90</v>
      </c>
      <c r="CP4" s="71">
        <v>91</v>
      </c>
      <c r="CQ4" s="71">
        <v>92</v>
      </c>
      <c r="CR4" s="71">
        <v>93</v>
      </c>
      <c r="CS4" s="71">
        <v>94</v>
      </c>
      <c r="CT4" s="71">
        <v>95</v>
      </c>
      <c r="CU4" s="71">
        <v>96</v>
      </c>
      <c r="CV4" s="71">
        <v>97</v>
      </c>
      <c r="CW4" s="71">
        <v>98</v>
      </c>
      <c r="CX4" s="71">
        <v>99</v>
      </c>
      <c r="CY4" s="71">
        <v>100</v>
      </c>
      <c r="CZ4" s="71">
        <v>101</v>
      </c>
      <c r="DA4" s="71">
        <v>102</v>
      </c>
      <c r="DB4" s="71">
        <v>103</v>
      </c>
      <c r="DC4" s="71">
        <v>104</v>
      </c>
      <c r="DD4" s="71">
        <v>105</v>
      </c>
      <c r="DE4" s="71">
        <v>106</v>
      </c>
      <c r="DF4" s="71">
        <v>107</v>
      </c>
      <c r="DG4" s="71">
        <v>108</v>
      </c>
      <c r="DH4" s="71">
        <v>109</v>
      </c>
      <c r="DI4" s="71">
        <v>110</v>
      </c>
      <c r="DJ4" s="71">
        <v>111</v>
      </c>
      <c r="DK4" s="71">
        <v>112</v>
      </c>
      <c r="DL4" s="71">
        <v>113</v>
      </c>
      <c r="DM4" s="71">
        <v>114</v>
      </c>
      <c r="DN4" s="71">
        <v>115</v>
      </c>
      <c r="DO4" s="71">
        <v>116</v>
      </c>
      <c r="DP4" s="71">
        <v>117</v>
      </c>
      <c r="DQ4" s="71">
        <v>118</v>
      </c>
      <c r="DR4" s="71">
        <v>119</v>
      </c>
      <c r="DS4" s="71">
        <v>120</v>
      </c>
      <c r="DT4" s="71">
        <v>121</v>
      </c>
      <c r="DU4" s="71">
        <v>122</v>
      </c>
      <c r="DV4" s="71">
        <v>123</v>
      </c>
      <c r="DW4" s="71">
        <v>124</v>
      </c>
      <c r="DX4" s="71">
        <v>125</v>
      </c>
      <c r="DY4" s="71">
        <v>126</v>
      </c>
      <c r="DZ4" s="71">
        <v>127</v>
      </c>
      <c r="EA4" s="71">
        <v>128</v>
      </c>
      <c r="EB4" s="71">
        <v>129</v>
      </c>
      <c r="EC4" s="71">
        <v>130</v>
      </c>
      <c r="ED4" s="71">
        <v>131</v>
      </c>
      <c r="EE4" s="71">
        <v>132</v>
      </c>
      <c r="EF4" s="71">
        <v>133</v>
      </c>
      <c r="EG4" s="71">
        <v>134</v>
      </c>
      <c r="EH4" s="71">
        <v>135</v>
      </c>
      <c r="EI4" s="71">
        <v>136</v>
      </c>
      <c r="EJ4" s="71">
        <v>137</v>
      </c>
      <c r="EK4" s="71">
        <v>138</v>
      </c>
      <c r="EL4" s="71">
        <v>139</v>
      </c>
      <c r="EM4" s="71">
        <v>140</v>
      </c>
      <c r="EN4" s="71">
        <v>141</v>
      </c>
      <c r="EO4" s="71">
        <v>142</v>
      </c>
      <c r="EP4" s="71">
        <v>143</v>
      </c>
      <c r="EQ4" s="71">
        <v>144</v>
      </c>
      <c r="ER4" s="71">
        <v>145</v>
      </c>
      <c r="ES4" s="71">
        <v>146</v>
      </c>
      <c r="ET4" s="71">
        <v>147</v>
      </c>
      <c r="EU4" s="71">
        <v>148</v>
      </c>
      <c r="EV4" s="71">
        <v>149</v>
      </c>
      <c r="EW4" s="71">
        <v>150</v>
      </c>
      <c r="EX4" s="71">
        <v>151</v>
      </c>
      <c r="EY4" s="71">
        <v>152</v>
      </c>
      <c r="EZ4" s="71">
        <v>153</v>
      </c>
      <c r="FA4" s="71">
        <v>154</v>
      </c>
      <c r="FB4" s="71">
        <v>155</v>
      </c>
      <c r="FC4" s="71">
        <v>156</v>
      </c>
      <c r="FD4" s="71">
        <v>157</v>
      </c>
      <c r="FE4" s="71">
        <v>158</v>
      </c>
      <c r="FF4" s="71">
        <v>159</v>
      </c>
      <c r="FG4" s="71">
        <v>160</v>
      </c>
      <c r="FH4" s="71">
        <v>161</v>
      </c>
      <c r="FI4" s="71">
        <v>162</v>
      </c>
      <c r="FJ4" s="71">
        <v>163</v>
      </c>
      <c r="FK4" s="71">
        <v>164</v>
      </c>
      <c r="FL4" s="71">
        <v>165</v>
      </c>
      <c r="FM4" s="71">
        <v>166</v>
      </c>
      <c r="FN4" s="71">
        <v>167</v>
      </c>
      <c r="FO4" s="71">
        <v>168</v>
      </c>
      <c r="FP4" s="71">
        <v>169</v>
      </c>
      <c r="FQ4" s="71">
        <v>170</v>
      </c>
      <c r="FR4" s="71">
        <v>171</v>
      </c>
      <c r="FS4" s="71">
        <v>172</v>
      </c>
      <c r="FT4" s="71">
        <v>173</v>
      </c>
      <c r="FU4" s="71">
        <v>174</v>
      </c>
      <c r="FV4" s="71">
        <v>175</v>
      </c>
      <c r="FW4" s="71">
        <v>176</v>
      </c>
      <c r="FX4" s="71">
        <v>177</v>
      </c>
      <c r="FY4" s="71">
        <v>178</v>
      </c>
      <c r="FZ4" s="71">
        <v>179</v>
      </c>
      <c r="GA4" s="71">
        <v>180</v>
      </c>
      <c r="GB4" s="71">
        <v>181</v>
      </c>
      <c r="GC4" s="71">
        <v>182</v>
      </c>
      <c r="GD4" s="71">
        <v>183</v>
      </c>
      <c r="GE4" s="71">
        <v>184</v>
      </c>
      <c r="GF4" s="71">
        <v>185</v>
      </c>
      <c r="GG4" s="71">
        <v>186</v>
      </c>
      <c r="GH4" s="71">
        <v>187</v>
      </c>
      <c r="GI4" s="71">
        <v>188</v>
      </c>
      <c r="GJ4" s="71">
        <v>189</v>
      </c>
      <c r="GK4" s="71">
        <v>190</v>
      </c>
      <c r="GL4" s="71">
        <v>191</v>
      </c>
      <c r="GM4" s="71">
        <v>192</v>
      </c>
      <c r="GN4" s="71">
        <v>193</v>
      </c>
      <c r="GO4" s="71">
        <v>194</v>
      </c>
      <c r="GP4" s="71">
        <v>195</v>
      </c>
      <c r="GQ4" s="71">
        <v>196</v>
      </c>
      <c r="GR4" s="71">
        <v>197</v>
      </c>
      <c r="GS4" s="71">
        <v>198</v>
      </c>
      <c r="GT4" s="71">
        <v>199</v>
      </c>
      <c r="GU4" s="71">
        <v>200</v>
      </c>
    </row>
    <row r="6" spans="3:203" x14ac:dyDescent="0.25">
      <c r="C6" s="71">
        <v>1</v>
      </c>
      <c r="D6" s="71">
        <v>2</v>
      </c>
    </row>
    <row r="7" spans="3:203" x14ac:dyDescent="0.25">
      <c r="D7" s="71">
        <v>3</v>
      </c>
    </row>
    <row r="8" spans="3:203" x14ac:dyDescent="0.25">
      <c r="D8" s="71">
        <v>4</v>
      </c>
    </row>
    <row r="9" spans="3:203" x14ac:dyDescent="0.25">
      <c r="C9" s="71">
        <v>2</v>
      </c>
      <c r="D9" s="71">
        <v>52</v>
      </c>
    </row>
    <row r="10" spans="3:203" x14ac:dyDescent="0.25">
      <c r="C10" s="71">
        <v>3</v>
      </c>
    </row>
    <row r="11" spans="3:203" x14ac:dyDescent="0.25">
      <c r="C11" s="71">
        <v>4</v>
      </c>
      <c r="D11" s="71">
        <v>5</v>
      </c>
    </row>
    <row r="12" spans="3:203" x14ac:dyDescent="0.25">
      <c r="D12" s="71">
        <v>51</v>
      </c>
    </row>
    <row r="13" spans="3:203" x14ac:dyDescent="0.25">
      <c r="C13" s="71">
        <v>5</v>
      </c>
      <c r="D13" s="71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FORMULARIO DE REGISTRO</vt:lpstr>
      <vt:lpstr>Ventas por socio</vt:lpstr>
      <vt:lpstr>DATOS REGISTRADOS</vt:lpstr>
      <vt:lpstr>Productos </vt:lpstr>
      <vt:lpstr>Hoja1</vt:lpstr>
      <vt:lpstr>Folios hist</vt:lpstr>
      <vt:lpstr>Inventario</vt:lpstr>
      <vt:lpstr>Registro de comisiones sep</vt:lpstr>
      <vt:lpstr>Comisiones</vt:lpstr>
      <vt:lpstr>Hoja2</vt:lpstr>
      <vt:lpstr>'Folios hist'!Área_de_impresión</vt:lpstr>
      <vt:lpstr>Inventario!Área_de_impresión</vt:lpstr>
      <vt:lpstr>'Ventas por socio'!Área_de_impresión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 Leit</dc:creator>
  <cp:lastModifiedBy>Daniel</cp:lastModifiedBy>
  <cp:lastPrinted>2020-08-18T17:03:35Z</cp:lastPrinted>
  <dcterms:created xsi:type="dcterms:W3CDTF">2018-10-19T16:23:50Z</dcterms:created>
  <dcterms:modified xsi:type="dcterms:W3CDTF">2021-07-01T00:06:07Z</dcterms:modified>
</cp:coreProperties>
</file>